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1 Weights" sheetId="2" state="visible" r:id="rId2"/>
    <sheet xmlns:r="http://schemas.openxmlformats.org/officeDocument/2006/relationships" name="2 Checklist" sheetId="3" state="visible" r:id="rId3"/>
    <sheet xmlns:r="http://schemas.openxmlformats.org/officeDocument/2006/relationships" name="3 Relief list" sheetId="4" state="visible" r:id="rId4"/>
    <sheet xmlns:r="http://schemas.openxmlformats.org/officeDocument/2006/relationships" name="4 Evidence" sheetId="5" state="visible" r:id="rId5"/>
    <sheet xmlns:r="http://schemas.openxmlformats.org/officeDocument/2006/relationships" name="5 Counts" sheetId="6" state="visible" r:id="rId6"/>
    <sheet xmlns:r="http://schemas.openxmlformats.org/officeDocument/2006/relationships" name="6 Differences" sheetId="7" state="visible" r:id="rId7"/>
    <sheet xmlns:r="http://schemas.openxmlformats.org/officeDocument/2006/relationships" name="7 Register" sheetId="8" state="visible" r:id="rId8"/>
    <sheet xmlns:r="http://schemas.openxmlformats.org/officeDocument/2006/relationships" name="8 Award note" sheetId="9" state="visible" r:id="rId9"/>
    <sheet xmlns:r="http://schemas.openxmlformats.org/officeDocument/2006/relationships" name="9 Review check" sheetId="10" state="visible" r:id="rId10"/>
    <sheet xmlns:r="http://schemas.openxmlformats.org/officeDocument/2006/relationships" name="10 Clarifications" sheetId="11" state="visible" r:id="rId1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0"/>
    </font>
    <font>
      <name val="Arial"/>
      <b val="1"/>
      <sz val="10"/>
    </font>
    <font>
      <name val="Arial"/>
      <i val="1"/>
      <color rgb="00555555"/>
      <sz val="9"/>
    </font>
    <font>
      <name val="Arial"/>
      <color rgb="000000FF"/>
      <sz val="10"/>
    </font>
    <font>
      <name val="Arial"/>
      <b val="1"/>
      <color rgb="00FFFFFF"/>
      <sz val="11"/>
    </font>
    <font>
      <name val="Arial"/>
      <i val="1"/>
      <color rgb="00808080"/>
      <sz val="10"/>
    </font>
  </fonts>
  <fills count="5">
    <fill>
      <patternFill/>
    </fill>
    <fill>
      <patternFill patternType="gray125"/>
    </fill>
    <fill>
      <patternFill patternType="solid">
        <fgColor rgb="00FFF2CC"/>
      </patternFill>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3" fillId="0" borderId="0" pivotButton="0" quotePrefix="0" xfId="0"/>
    <xf numFmtId="0" fontId="5" fillId="2" borderId="0" pivotButton="0" quotePrefix="0" xfId="0"/>
    <xf numFmtId="0" fontId="6" fillId="3" borderId="1" applyAlignment="1" pivotButton="0" quotePrefix="0" xfId="0">
      <alignment vertical="center" wrapText="1"/>
    </xf>
    <xf numFmtId="0" fontId="5" fillId="2" borderId="1" applyAlignment="1" pivotButton="0" quotePrefix="0" xfId="0">
      <alignment vertical="top" wrapText="1"/>
    </xf>
    <xf numFmtId="0" fontId="3" fillId="0" borderId="1" pivotButton="0" quotePrefix="0" xfId="0"/>
    <xf numFmtId="0" fontId="7" fillId="4" borderId="0" pivotButton="0" quotePrefix="0" xfId="0"/>
    <xf numFmtId="0" fontId="2" fillId="0" borderId="1" pivotButton="0" quotePrefix="0" xfId="0"/>
    <xf numFmtId="0" fontId="5" fillId="0" borderId="1" pivotButton="0" quotePrefix="0" xfId="0"/>
    <xf numFmtId="0" fontId="0" fillId="4" borderId="0" pivotButton="0" quotePrefix="0" xfId="0"/>
    <xf numFmtId="0" fontId="2" fillId="0" borderId="0" pivotButton="0" quotePrefix="0" xfId="0"/>
    <xf numFmtId="0" fontId="7" fillId="4" borderId="0" applyAlignment="1" pivotButton="0" quotePrefix="0" xfId="0">
      <alignment vertical="top" wrapText="1"/>
    </xf>
    <xf numFmtId="0" fontId="5" fillId="0" borderId="1" applyAlignment="1" pivotButton="0" quotePrefix="0" xfId="0">
      <alignment vertical="top" wrapText="1"/>
    </xf>
    <xf numFmtId="2" fontId="2" fillId="0" borderId="1" applyAlignment="1" pivotButton="0" quotePrefix="0" xfId="0">
      <alignment vertical="top" wrapText="1"/>
    </xf>
    <xf numFmtId="2" fontId="3" fillId="0" borderId="1" pivotButton="0" quotePrefix="0" xfId="0"/>
    <xf numFmtId="0" fontId="3" fillId="2" borderId="1" pivotButton="0" quotePrefix="0" xfId="0"/>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Sourcing Read</author>
  </authors>
  <commentList>
    <comment ref="A9" authorId="0" shapeId="0">
      <text>
        <t>Weights are the buyer's judgment. The guided read never sees them. Source: the buyer.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12" customWidth="1" min="1" max="1"/>
  </cols>
  <sheetData>
    <row r="1">
      <c r="A1" s="1" t="inlineStr">
        <is>
          <t>The Sourcing Read: working record</t>
        </is>
      </c>
    </row>
    <row r="3">
      <c r="A3" s="2" t="inlineStr"/>
    </row>
    <row r="4">
      <c r="A4" s="3" t="inlineStr">
        <is>
          <t>What this workbook is</t>
        </is>
      </c>
    </row>
    <row r="5" ht="30" customHeight="1">
      <c r="A5" s="2" t="inlineStr">
        <is>
          <t>The record of a sourcing read. The AI review and the guided read do the reading; this holds the evidence, the check of the review, the clarification letters, the counts and the register. It is the part that still exists after award, when the chat window does not.</t>
        </is>
      </c>
    </row>
    <row r="6">
      <c r="A6" s="2" t="inlineStr"/>
    </row>
    <row r="7">
      <c r="A7" s="3" t="inlineStr">
        <is>
          <t>Four rules that are not optional</t>
        </is>
      </c>
    </row>
    <row r="8" ht="30" customHeight="1">
      <c r="A8" s="2" t="inlineStr">
        <is>
          <t>1.  The weights on tab '1 Weights' are never pasted into the chat. Not in any stage, not in any turn. They live here only.</t>
        </is>
      </c>
    </row>
    <row r="9" ht="30" customHeight="1">
      <c r="A9" s="2" t="inlineStr">
        <is>
          <t>2.  After each response is read, check five evidence rows at random against the source document and record the result on tab '4 Evidence'. A spot check can expose errors; it cannot establish that the whole table is sound. Before award, check every row the decision rests on.</t>
        </is>
      </c>
    </row>
    <row r="10" ht="30" customHeight="1">
      <c r="A10" s="2" t="inlineStr">
        <is>
          <t>3.  A refusal is not a silence. A supplier who states plainly what they will not do has given you information. Record it as a declared exclusion.</t>
        </is>
      </c>
    </row>
    <row r="11" ht="30" customHeight="1">
      <c r="A11" s="2" t="inlineStr">
        <is>
          <t>4.  Use the environment your organisation has approved for bid documents. If you are not sure one exists, practise on the fictional worked example.</t>
        </is>
      </c>
    </row>
    <row r="12">
      <c r="A12" s="2" t="inlineStr"/>
    </row>
    <row r="13">
      <c r="A13" s="3" t="inlineStr">
        <is>
          <t>How to fill it in</t>
        </is>
      </c>
    </row>
    <row r="14" ht="30" customHeight="1">
      <c r="A14" s="2" t="inlineStr">
        <is>
          <t>Blue text marks a cell you type in. Black cells are calculated: do not overwrite them.</t>
        </is>
      </c>
    </row>
    <row r="15" ht="30" customHeight="1">
      <c r="A15" s="2" t="inlineStr">
        <is>
          <t>Yellow cells are the ones that matter most: the sealed weights and the observable line in the register.</t>
        </is>
      </c>
    </row>
    <row r="16" ht="30" customHeight="1">
      <c r="A16" s="2" t="inlineStr">
        <is>
          <t>The first row of each table is an example, in grey and marked (example). Delete it or type over it.</t>
        </is>
      </c>
    </row>
    <row r="17">
      <c r="A17" s="2" t="inlineStr"/>
    </row>
    <row r="18">
      <c r="A18" s="3" t="inlineStr">
        <is>
          <t>What this does not do</t>
        </is>
      </c>
    </row>
    <row r="19" ht="30" customHeight="1">
      <c r="A19" s="2" t="inlineStr">
        <is>
          <t>It does not rank, price or recommend. It cannot tell you the losing bids were worse: that comparison does not exist. It tells you what you bought, what you did not, and what will never be settled.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16" customWidth="1" min="1" max="1"/>
    <col width="44" customWidth="1" min="2" max="2"/>
    <col width="46" customWidth="1" min="3" max="3"/>
  </cols>
  <sheetData>
    <row r="1">
      <c r="A1" s="1" t="inlineStr">
        <is>
          <t>Weights: sealed before any response is opened</t>
        </is>
      </c>
    </row>
    <row r="2">
      <c r="A2" s="4" t="inlineStr">
        <is>
          <t>Use only the criteria your request published (in the worked example, request 5.1). Fill this in, date it, and never paste it into the chat. If you have already read the responses, write 'sealed after receipt' in the note and say so in the award file.</t>
        </is>
      </c>
    </row>
    <row r="4">
      <c r="A4" s="5" t="inlineStr">
        <is>
          <t>Contract</t>
        </is>
      </c>
      <c r="B4" s="6" t="inlineStr">
        <is>
          <t>Warehouse and dispatch management system, four sites</t>
        </is>
      </c>
    </row>
    <row r="5">
      <c r="A5" s="5" t="inlineStr">
        <is>
          <t>Date sealed</t>
        </is>
      </c>
      <c r="B5" s="6" t="inlineStr">
        <is>
          <t>2026-05-04</t>
        </is>
      </c>
    </row>
    <row r="6">
      <c r="A6" s="5" t="inlineStr">
        <is>
          <t>Sealed by</t>
        </is>
      </c>
      <c r="B6" s="6" t="inlineStr"/>
    </row>
    <row r="7">
      <c r="A7" s="5" t="inlineStr">
        <is>
          <t>Note</t>
        </is>
      </c>
      <c r="B7" s="6" t="inlineStr">
        <is>
          <t>Sealed before responses opened</t>
        </is>
      </c>
    </row>
    <row r="9" ht="30" customHeight="1">
      <c r="A9" s="7" t="inlineStr">
        <is>
          <t>Criterion</t>
        </is>
      </c>
      <c r="B9" s="7" t="inlineStr">
        <is>
          <t>Weight %</t>
        </is>
      </c>
      <c r="C9" s="7" t="inlineStr">
        <is>
          <t>What disqualifies outright</t>
        </is>
      </c>
    </row>
    <row r="10">
      <c r="A10" s="8" t="inlineStr">
        <is>
          <t>Functional fit</t>
        </is>
      </c>
      <c r="B10" s="8" t="n">
        <v>30</v>
      </c>
      <c r="C10" s="8" t="inlineStr">
        <is>
          <t>Any checklist line marked not answered after clarification</t>
        </is>
      </c>
    </row>
    <row r="11">
      <c r="A11" s="8" t="inlineStr">
        <is>
          <t>Implementation approach</t>
        </is>
      </c>
      <c r="B11" s="8" t="n">
        <v>20</v>
      </c>
      <c r="C11" s="8" t="inlineStr"/>
    </row>
    <row r="12">
      <c r="A12" s="8" t="inlineStr">
        <is>
          <t>Supplier capability</t>
        </is>
      </c>
      <c r="B12" s="8" t="n">
        <v>25</v>
      </c>
      <c r="C12" s="8" t="inlineStr"/>
    </row>
    <row r="13">
      <c r="A13" s="8" t="inlineStr">
        <is>
          <t>Total cost over five years</t>
        </is>
      </c>
      <c r="B13" s="8" t="n">
        <v>25</v>
      </c>
      <c r="C13" s="8" t="inlineStr"/>
    </row>
    <row r="14">
      <c r="A14" s="5" t="inlineStr">
        <is>
          <t>Total, must be 100</t>
        </is>
      </c>
      <c r="B14" s="9">
        <f>SUM(B10:B13)</f>
        <v/>
      </c>
      <c r="C14" s="9">
        <f>IF(B14=100,"Sealed total is valid","DOES NOT SUM TO 100")</f>
        <v/>
      </c>
    </row>
    <row r="16">
      <c r="A16" s="5" t="inlineStr">
        <is>
          <t>Changes made after sealing (should be none)</t>
        </is>
      </c>
    </row>
    <row r="17" ht="30" customHeight="1">
      <c r="A17" s="7" t="inlineStr">
        <is>
          <t>Date</t>
        </is>
      </c>
      <c r="B17" s="7" t="inlineStr">
        <is>
          <t>What changed</t>
        </is>
      </c>
      <c r="C17" s="7" t="inlineStr">
        <is>
          <t>Who decided it, and why</t>
        </is>
      </c>
    </row>
    <row r="18">
      <c r="A18" s="10" t="inlineStr">
        <is>
          <t>(example) 2026-06-15</t>
        </is>
      </c>
      <c r="B18" s="10" t="inlineStr">
        <is>
          <t>(example) weight on cost 25% to 30%</t>
        </is>
      </c>
      <c r="C18" s="10" t="inlineStr">
        <is>
          <t>(example) delete this row</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16"/>
  <sheetViews>
    <sheetView showGridLines="0" workbookViewId="0">
      <selection activeCell="A1" sqref="A1"/>
    </sheetView>
  </sheetViews>
  <sheetFormatPr baseColWidth="8" defaultRowHeight="15"/>
  <cols>
    <col width="40" customWidth="1" min="1" max="1"/>
    <col width="16" customWidth="1" min="2" max="2"/>
    <col width="14" customWidth="1" min="3" max="3"/>
    <col width="16" customWidth="1" min="4" max="4"/>
    <col width="16" customWidth="1" min="5" max="5"/>
  </cols>
  <sheetData>
    <row r="1">
      <c r="A1" s="1" t="inlineStr">
        <is>
          <t>Checklist coverage</t>
        </is>
      </c>
    </row>
    <row r="2">
      <c r="A2" s="4" t="inlineStr">
        <is>
          <t>Marked by the guided read against your own request, each mark with a quote. This is the measurement of your document: it has a denominator. The relief list on tab 3 does not, and is a finding rather than a score. Figures shown are the worked example; type over them.</t>
        </is>
      </c>
    </row>
    <row r="4" ht="30" customHeight="1">
      <c r="A4" s="7" t="inlineStr">
        <is>
          <t>Section</t>
        </is>
      </c>
      <c r="B4" s="7" t="inlineStr">
        <is>
          <t>Lines in section</t>
        </is>
      </c>
      <c r="C4" s="7" t="inlineStr">
        <is>
          <t>Answered</t>
        </is>
      </c>
      <c r="D4" s="7" t="inlineStr">
        <is>
          <t>Partly answered</t>
        </is>
      </c>
      <c r="E4" s="7" t="inlineStr">
        <is>
          <t>Not addressed</t>
        </is>
      </c>
    </row>
    <row r="5">
      <c r="A5" s="11" t="inlineStr">
        <is>
          <t>A  What is actually being bought</t>
        </is>
      </c>
      <c r="B5" s="11" t="n">
        <v>6</v>
      </c>
      <c r="C5" s="12" t="n">
        <v>1</v>
      </c>
      <c r="D5" s="12" t="n">
        <v>2</v>
      </c>
      <c r="E5" s="12" t="n">
        <v>3</v>
      </c>
    </row>
    <row r="6">
      <c r="A6" s="11" t="inlineStr">
        <is>
          <t>B  Performance and who measures it</t>
        </is>
      </c>
      <c r="B6" s="11" t="n">
        <v>5</v>
      </c>
      <c r="C6" s="12" t="n">
        <v>0</v>
      </c>
      <c r="D6" s="12" t="n">
        <v>2</v>
      </c>
      <c r="E6" s="12" t="n">
        <v>3</v>
      </c>
    </row>
    <row r="7">
      <c r="A7" s="11" t="inlineStr">
        <is>
          <t>C  Capacity and peak</t>
        </is>
      </c>
      <c r="B7" s="11" t="n">
        <v>4</v>
      </c>
      <c r="C7" s="12" t="n">
        <v>0</v>
      </c>
      <c r="D7" s="12" t="n">
        <v>1</v>
      </c>
      <c r="E7" s="12" t="n">
        <v>3</v>
      </c>
    </row>
    <row r="8">
      <c r="A8" s="11" t="inlineStr">
        <is>
          <t>D  Liability, risk and insurance</t>
        </is>
      </c>
      <c r="B8" s="11" t="n">
        <v>7</v>
      </c>
      <c r="C8" s="12" t="n">
        <v>0</v>
      </c>
      <c r="D8" s="12" t="n">
        <v>2</v>
      </c>
      <c r="E8" s="12" t="n">
        <v>5</v>
      </c>
    </row>
    <row r="9">
      <c r="A9" s="11" t="inlineStr">
        <is>
          <t>E  Commercial mechanics</t>
        </is>
      </c>
      <c r="B9" s="11" t="n">
        <v>5</v>
      </c>
      <c r="C9" s="12" t="n">
        <v>0</v>
      </c>
      <c r="D9" s="12" t="n">
        <v>1</v>
      </c>
      <c r="E9" s="12" t="n">
        <v>4</v>
      </c>
    </row>
    <row r="10">
      <c r="A10" s="11" t="inlineStr">
        <is>
          <t>F  Data, systems and records</t>
        </is>
      </c>
      <c r="B10" s="11" t="n">
        <v>7</v>
      </c>
      <c r="C10" s="12" t="n">
        <v>0</v>
      </c>
      <c r="D10" s="12" t="n">
        <v>2</v>
      </c>
      <c r="E10" s="12" t="n">
        <v>5</v>
      </c>
    </row>
    <row r="11">
      <c r="A11" s="11" t="inlineStr">
        <is>
          <t>G  Continuity and substitution</t>
        </is>
      </c>
      <c r="B11" s="11" t="n">
        <v>5</v>
      </c>
      <c r="C11" s="12" t="n">
        <v>0</v>
      </c>
      <c r="D11" s="12" t="n">
        <v>0</v>
      </c>
      <c r="E11" s="12" t="n">
        <v>5</v>
      </c>
    </row>
    <row r="12">
      <c r="A12" s="11" t="inlineStr">
        <is>
          <t>H  Exit</t>
        </is>
      </c>
      <c r="B12" s="11" t="n">
        <v>4</v>
      </c>
      <c r="C12" s="12" t="n">
        <v>0</v>
      </c>
      <c r="D12" s="12" t="n">
        <v>0</v>
      </c>
      <c r="E12" s="12" t="n">
        <v>4</v>
      </c>
    </row>
    <row r="13">
      <c r="A13" s="11" t="inlineStr">
        <is>
          <t>I  Governance and audit</t>
        </is>
      </c>
      <c r="B13" s="11" t="n">
        <v>4</v>
      </c>
      <c r="C13" s="12" t="n">
        <v>0</v>
      </c>
      <c r="D13" s="12" t="n">
        <v>1</v>
      </c>
      <c r="E13" s="12" t="n">
        <v>3</v>
      </c>
    </row>
    <row r="14">
      <c r="A14" s="5" t="inlineStr">
        <is>
          <t>TOTAL</t>
        </is>
      </c>
      <c r="B14" s="9">
        <f>SUM(B5:B13)</f>
        <v/>
      </c>
      <c r="C14" s="9">
        <f>SUM(C5:C13)</f>
        <v/>
      </c>
      <c r="D14" s="9">
        <f>SUM(D5:D13)</f>
        <v/>
      </c>
      <c r="E14" s="9">
        <f>SUM(E5:E13)</f>
        <v/>
      </c>
    </row>
    <row r="16">
      <c r="A16" s="5">
        <f>_xlfn.CONCAT("Of ",B14," checklist lines, this document answers ",C14,", partly answers ",D14,", and does not address ",E14,".")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showGridLines="0" workbookViewId="0">
      <selection activeCell="A1" sqref="A1"/>
    </sheetView>
  </sheetViews>
  <sheetFormatPr baseColWidth="8" defaultRowHeight="15"/>
  <cols>
    <col width="6" customWidth="1" min="1" max="1"/>
    <col width="62" customWidth="1" min="2" max="2"/>
    <col width="14" customWidth="1" min="3" max="3"/>
    <col width="24" customWidth="1" min="4" max="4"/>
    <col width="20" customWidth="1" min="5" max="5"/>
  </cols>
  <sheetData>
    <row r="1">
      <c r="A1" s="1" t="inlineStr">
        <is>
          <t>The relief list</t>
        </is>
      </c>
    </row>
    <row r="2">
      <c r="A2" s="4" t="inlineStr">
        <is>
          <t>Twenty things a capable supplier would be most relieved you did not ask. Run against your own request, before any response is opened. Selected for gaps by construction, so treat the count as a finding, not a score.</t>
        </is>
      </c>
    </row>
    <row r="4" ht="30" customHeight="1">
      <c r="A4" s="7" t="inlineStr">
        <is>
          <t>#</t>
        </is>
      </c>
      <c r="B4" s="7" t="inlineStr">
        <is>
          <t>What a supplier would be relieved you did not ask</t>
        </is>
      </c>
      <c r="C4" s="7" t="inlineStr">
        <is>
          <t>Covered?</t>
        </is>
      </c>
      <c r="D4" s="7" t="inlineStr">
        <is>
          <t>Clause that covers it</t>
        </is>
      </c>
      <c r="E4" s="7" t="inlineStr">
        <is>
          <t>Closed at clarification?</t>
        </is>
      </c>
    </row>
    <row r="5">
      <c r="A5" s="10" t="inlineStr">
        <is>
          <t>ex</t>
        </is>
      </c>
      <c r="B5" s="10" t="inlineStr">
        <is>
          <t>(example) What event starts the dispatch clock and what event stops it</t>
        </is>
      </c>
      <c r="C5" s="10" t="inlineStr">
        <is>
          <t>NOT COVERED</t>
        </is>
      </c>
      <c r="D5" s="13" t="n"/>
      <c r="E5" s="10" t="inlineStr">
        <is>
          <t>Carried as risk</t>
        </is>
      </c>
    </row>
    <row r="6">
      <c r="A6" s="14" t="n">
        <v>1</v>
      </c>
      <c r="B6" s="12" t="n"/>
      <c r="C6" s="12" t="n"/>
      <c r="D6" s="12" t="n"/>
      <c r="E6" s="12" t="n"/>
    </row>
    <row r="7">
      <c r="A7" s="14" t="n">
        <v>2</v>
      </c>
      <c r="B7" s="12" t="n"/>
      <c r="C7" s="12" t="n"/>
      <c r="D7" s="12" t="n"/>
      <c r="E7" s="12" t="n"/>
    </row>
    <row r="8">
      <c r="A8" s="14" t="n">
        <v>3</v>
      </c>
      <c r="B8" s="12" t="n"/>
      <c r="C8" s="12" t="n"/>
      <c r="D8" s="12" t="n"/>
      <c r="E8" s="12" t="n"/>
    </row>
    <row r="9">
      <c r="A9" s="14" t="n">
        <v>4</v>
      </c>
      <c r="B9" s="12" t="n"/>
      <c r="C9" s="12" t="n"/>
      <c r="D9" s="12" t="n"/>
      <c r="E9" s="12" t="n"/>
    </row>
    <row r="10">
      <c r="A10" s="14" t="n">
        <v>5</v>
      </c>
      <c r="B10" s="12" t="n"/>
      <c r="C10" s="12" t="n"/>
      <c r="D10" s="12" t="n"/>
      <c r="E10" s="12" t="n"/>
    </row>
    <row r="11">
      <c r="A11" s="14" t="n">
        <v>6</v>
      </c>
      <c r="B11" s="12" t="n"/>
      <c r="C11" s="12" t="n"/>
      <c r="D11" s="12" t="n"/>
      <c r="E11" s="12" t="n"/>
    </row>
    <row r="12">
      <c r="A12" s="14" t="n">
        <v>7</v>
      </c>
      <c r="B12" s="12" t="n"/>
      <c r="C12" s="12" t="n"/>
      <c r="D12" s="12" t="n"/>
      <c r="E12" s="12" t="n"/>
    </row>
    <row r="13">
      <c r="A13" s="14" t="n">
        <v>8</v>
      </c>
      <c r="B13" s="12" t="n"/>
      <c r="C13" s="12" t="n"/>
      <c r="D13" s="12" t="n"/>
      <c r="E13" s="12" t="n"/>
    </row>
    <row r="14">
      <c r="A14" s="14" t="n">
        <v>9</v>
      </c>
      <c r="B14" s="12" t="n"/>
      <c r="C14" s="12" t="n"/>
      <c r="D14" s="12" t="n"/>
      <c r="E14" s="12" t="n"/>
    </row>
    <row r="15">
      <c r="A15" s="14" t="n">
        <v>10</v>
      </c>
      <c r="B15" s="12" t="n"/>
      <c r="C15" s="12" t="n"/>
      <c r="D15" s="12" t="n"/>
      <c r="E15" s="12" t="n"/>
    </row>
    <row r="16">
      <c r="A16" s="14" t="n">
        <v>11</v>
      </c>
      <c r="B16" s="12" t="n"/>
      <c r="C16" s="12" t="n"/>
      <c r="D16" s="12" t="n"/>
      <c r="E16" s="12" t="n"/>
    </row>
    <row r="17">
      <c r="A17" s="14" t="n">
        <v>12</v>
      </c>
      <c r="B17" s="12" t="n"/>
      <c r="C17" s="12" t="n"/>
      <c r="D17" s="12" t="n"/>
      <c r="E17" s="12" t="n"/>
    </row>
    <row r="18">
      <c r="A18" s="14" t="n">
        <v>13</v>
      </c>
      <c r="B18" s="12" t="n"/>
      <c r="C18" s="12" t="n"/>
      <c r="D18" s="12" t="n"/>
      <c r="E18" s="12" t="n"/>
    </row>
    <row r="19">
      <c r="A19" s="14" t="n">
        <v>14</v>
      </c>
      <c r="B19" s="12" t="n"/>
      <c r="C19" s="12" t="n"/>
      <c r="D19" s="12" t="n"/>
      <c r="E19" s="12" t="n"/>
    </row>
    <row r="20">
      <c r="A20" s="14" t="n">
        <v>15</v>
      </c>
      <c r="B20" s="12" t="n"/>
      <c r="C20" s="12" t="n"/>
      <c r="D20" s="12" t="n"/>
      <c r="E20" s="12" t="n"/>
    </row>
    <row r="21">
      <c r="A21" s="14" t="n">
        <v>16</v>
      </c>
      <c r="B21" s="12" t="n"/>
      <c r="C21" s="12" t="n"/>
      <c r="D21" s="12" t="n"/>
      <c r="E21" s="12" t="n"/>
    </row>
    <row r="22">
      <c r="A22" s="14" t="n">
        <v>17</v>
      </c>
      <c r="B22" s="12" t="n"/>
      <c r="C22" s="12" t="n"/>
      <c r="D22" s="12" t="n"/>
      <c r="E22" s="12" t="n"/>
    </row>
    <row r="23">
      <c r="A23" s="14" t="n">
        <v>18</v>
      </c>
      <c r="B23" s="12" t="n"/>
      <c r="C23" s="12" t="n"/>
      <c r="D23" s="12" t="n"/>
      <c r="E23" s="12" t="n"/>
    </row>
    <row r="24">
      <c r="A24" s="14" t="n">
        <v>19</v>
      </c>
      <c r="B24" s="12" t="n"/>
      <c r="C24" s="12" t="n"/>
      <c r="D24" s="12" t="n"/>
      <c r="E24" s="12" t="n"/>
    </row>
    <row r="25">
      <c r="A25" s="14" t="n">
        <v>20</v>
      </c>
      <c r="B25" s="12" t="n"/>
      <c r="C25" s="12" t="n"/>
      <c r="D25" s="12" t="n"/>
      <c r="E25" s="12" t="n"/>
    </row>
    <row r="27">
      <c r="B27" s="5" t="inlineStr">
        <is>
          <t>NOT COVERED</t>
        </is>
      </c>
      <c r="C27" s="9">
        <f>COUNTIF(C6:C25,"NOT COVERED")</f>
        <v/>
      </c>
    </row>
  </sheetData>
  <dataValidations count="2">
    <dataValidation sqref="C6 C7 C8 C9 C10 C11 C12 C13 C14 C15 C16 C17 C18 C19 C20 C21 C22 C23 C24 C25" showDropDown="0" showInputMessage="0" showErrorMessage="0" allowBlank="1" type="list">
      <formula1>"COVERED,NOT COVERED"</formula1>
    </dataValidation>
    <dataValidation sqref="E6 E7 E8 E9 E10 E11 E12 E13 E14 E15 E16 E17 E18 E19 E20 E21 E22 E23 E24 E25" showDropDown="0" showInputMessage="0" showErrorMessage="0" allowBlank="1" type="list">
      <formula1>"Yes,No,Carried as risk"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7"/>
  <sheetViews>
    <sheetView showGridLines="0" workbookViewId="0">
      <pane ySplit="4" topLeftCell="A5" activePane="bottomLeft" state="frozen"/>
      <selection pane="bottomLeft" activeCell="A1" sqref="A1"/>
    </sheetView>
  </sheetViews>
  <sheetFormatPr baseColWidth="8" defaultRowHeight="15"/>
  <cols>
    <col width="16" customWidth="1" min="1" max="1"/>
    <col width="20" customWidth="1" min="2" max="2"/>
    <col width="30" customWidth="1" min="3" max="3"/>
    <col width="24" customWidth="1" min="4" max="4"/>
    <col width="54" customWidth="1" min="5" max="5"/>
    <col width="30" customWidth="1" min="6" max="6"/>
    <col width="12" customWidth="1" min="7" max="7"/>
    <col width="14" customWidth="1" min="8" max="8"/>
  </cols>
  <sheetData>
    <row r="1">
      <c r="A1" s="1" t="inlineStr">
        <is>
          <t>Obligations, terms, exclusions and silences</t>
        </is>
      </c>
    </row>
    <row r="2">
      <c r="A2" s="4" t="inlineStr">
        <is>
          <t>One row per finding. Every row carries a quote and a reference, or it does not exist. Type the response name exactly as on tab 5. Record any condition or exception from the same clause: a commitment read without its exception is a misreading.</t>
        </is>
      </c>
    </row>
    <row r="4" ht="30" customHeight="1">
      <c r="A4" s="7" t="inlineStr">
        <is>
          <t>Response</t>
        </is>
      </c>
      <c r="B4" s="7" t="inlineStr">
        <is>
          <t>Category</t>
        </is>
      </c>
      <c r="C4" s="7" t="inlineStr">
        <is>
          <t>Requirement it concerns</t>
        </is>
      </c>
      <c r="D4" s="7" t="inlineStr">
        <is>
          <t>Commitment key</t>
        </is>
      </c>
      <c r="E4" s="7" t="inlineStr">
        <is>
          <t>Verbatim quote</t>
        </is>
      </c>
      <c r="F4" s="7" t="inlineStr">
        <is>
          <t>Condition or exception</t>
        </is>
      </c>
      <c r="G4" s="7" t="inlineStr">
        <is>
          <t>Clause / page</t>
        </is>
      </c>
      <c r="H4" s="7" t="inlineStr">
        <is>
          <t>Spot-checked</t>
        </is>
      </c>
    </row>
    <row r="5">
      <c r="A5" s="15" t="inlineStr">
        <is>
          <t>(example) delete</t>
        </is>
      </c>
      <c r="B5" s="15" t="inlineStr">
        <is>
          <t>SILENCE</t>
        </is>
      </c>
      <c r="C5" s="15" t="inlineStr">
        <is>
          <t>48-hour dispatch (request 3.1)</t>
        </is>
      </c>
      <c r="D5" s="15" t="inlineStr">
        <is>
          <t>dispatch_48h</t>
        </is>
      </c>
      <c r="E5" s="15" t="inlineStr">
        <is>
          <t>Our platform supports high-velocity dispatch operations including same-day and 48-hour dispatch workflows</t>
        </is>
      </c>
      <c r="F5" s="15" t="inlineStr"/>
      <c r="G5" s="15" t="inlineStr">
        <is>
          <t>A2</t>
        </is>
      </c>
      <c r="H5" s="15" t="inlineStr">
        <is>
          <t>Yes - correct</t>
        </is>
      </c>
    </row>
    <row r="6">
      <c r="A6" s="15" t="inlineStr">
        <is>
          <t>(example) delete</t>
        </is>
      </c>
      <c r="B6" s="15" t="inlineStr">
        <is>
          <t>DECLARED EXCLUSION</t>
        </is>
      </c>
      <c r="C6" s="15" t="inlineStr">
        <is>
          <t>48-hour dispatch (request 3.1)</t>
        </is>
      </c>
      <c r="D6" s="15" t="inlineStr">
        <is>
          <t>dispatch_48h</t>
        </is>
      </c>
      <c r="E6" s="15" t="inlineStr">
        <is>
          <t>Hartlowe makes no commitment as to whether Northvale achieves 48-hour dispatch.</t>
        </is>
      </c>
      <c r="F6" s="15" t="inlineStr"/>
      <c r="G6" s="15" t="inlineStr">
        <is>
          <t>B4</t>
        </is>
      </c>
      <c r="H6" s="15" t="inlineStr">
        <is>
          <t>Yes - correct</t>
        </is>
      </c>
    </row>
    <row r="7">
      <c r="A7" s="15" t="inlineStr">
        <is>
          <t>(example) delete</t>
        </is>
      </c>
      <c r="B7" s="15" t="inlineStr">
        <is>
          <t>OBLIGATION</t>
        </is>
      </c>
      <c r="C7" s="15" t="inlineStr">
        <is>
          <t>Dispatch measurement</t>
        </is>
      </c>
      <c r="D7" s="15" t="inlineStr">
        <is>
          <t>raw_data_export_free</t>
        </is>
      </c>
      <c r="E7" s="15" t="inlineStr">
        <is>
          <t>raw order-level data is exportable in CSV without charge at any time</t>
        </is>
      </c>
      <c r="F7" s="15" t="inlineStr">
        <is>
          <t>without charge at any time</t>
        </is>
      </c>
      <c r="G7" s="15" t="inlineStr">
        <is>
          <t>B3</t>
        </is>
      </c>
      <c r="H7" s="15" t="inlineStr">
        <is>
          <t>Yes - correct</t>
        </is>
      </c>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row r="106">
      <c r="A106" s="16" t="n"/>
      <c r="B106" s="16" t="n"/>
      <c r="C106" s="16" t="n"/>
      <c r="D106" s="16" t="n"/>
      <c r="E106" s="16" t="n"/>
      <c r="F106" s="16" t="n"/>
      <c r="G106" s="16" t="n"/>
      <c r="H106" s="16" t="n"/>
    </row>
    <row r="107">
      <c r="A107" s="16" t="n"/>
      <c r="B107" s="16" t="n"/>
      <c r="C107" s="16" t="n"/>
      <c r="D107" s="16" t="n"/>
      <c r="E107" s="16" t="n"/>
      <c r="F107" s="16" t="n"/>
      <c r="G107" s="16" t="n"/>
      <c r="H107" s="16" t="n"/>
    </row>
    <row r="108">
      <c r="A108" s="16" t="n"/>
      <c r="B108" s="16" t="n"/>
      <c r="C108" s="16" t="n"/>
      <c r="D108" s="16" t="n"/>
      <c r="E108" s="16" t="n"/>
      <c r="F108" s="16" t="n"/>
      <c r="G108" s="16" t="n"/>
      <c r="H108" s="16" t="n"/>
    </row>
    <row r="109">
      <c r="A109" s="16" t="n"/>
      <c r="B109" s="16" t="n"/>
      <c r="C109" s="16" t="n"/>
      <c r="D109" s="16" t="n"/>
      <c r="E109" s="16" t="n"/>
      <c r="F109" s="16" t="n"/>
      <c r="G109" s="16" t="n"/>
      <c r="H109" s="16" t="n"/>
    </row>
    <row r="110">
      <c r="A110" s="16" t="n"/>
      <c r="B110" s="16" t="n"/>
      <c r="C110" s="16" t="n"/>
      <c r="D110" s="16" t="n"/>
      <c r="E110" s="16" t="n"/>
      <c r="F110" s="16" t="n"/>
      <c r="G110" s="16" t="n"/>
      <c r="H110" s="16" t="n"/>
    </row>
    <row r="111">
      <c r="A111" s="16" t="n"/>
      <c r="B111" s="16" t="n"/>
      <c r="C111" s="16" t="n"/>
      <c r="D111" s="16" t="n"/>
      <c r="E111" s="16" t="n"/>
      <c r="F111" s="16" t="n"/>
      <c r="G111" s="16" t="n"/>
      <c r="H111" s="16" t="n"/>
    </row>
    <row r="112">
      <c r="A112" s="16" t="n"/>
      <c r="B112" s="16" t="n"/>
      <c r="C112" s="16" t="n"/>
      <c r="D112" s="16" t="n"/>
      <c r="E112" s="16" t="n"/>
      <c r="F112" s="16" t="n"/>
      <c r="G112" s="16" t="n"/>
      <c r="H112" s="16" t="n"/>
    </row>
    <row r="113">
      <c r="A113" s="16" t="n"/>
      <c r="B113" s="16" t="n"/>
      <c r="C113" s="16" t="n"/>
      <c r="D113" s="16" t="n"/>
      <c r="E113" s="16" t="n"/>
      <c r="F113" s="16" t="n"/>
      <c r="G113" s="16" t="n"/>
      <c r="H113" s="16" t="n"/>
    </row>
    <row r="114">
      <c r="A114" s="16" t="n"/>
      <c r="B114" s="16" t="n"/>
      <c r="C114" s="16" t="n"/>
      <c r="D114" s="16" t="n"/>
      <c r="E114" s="16" t="n"/>
      <c r="F114" s="16" t="n"/>
      <c r="G114" s="16" t="n"/>
      <c r="H114" s="16" t="n"/>
    </row>
    <row r="115">
      <c r="A115" s="16" t="n"/>
      <c r="B115" s="16" t="n"/>
      <c r="C115" s="16" t="n"/>
      <c r="D115" s="16" t="n"/>
      <c r="E115" s="16" t="n"/>
      <c r="F115" s="16" t="n"/>
      <c r="G115" s="16" t="n"/>
      <c r="H115" s="16" t="n"/>
    </row>
    <row r="116">
      <c r="A116" s="16" t="n"/>
      <c r="B116" s="16" t="n"/>
      <c r="C116" s="16" t="n"/>
      <c r="D116" s="16" t="n"/>
      <c r="E116" s="16" t="n"/>
      <c r="F116" s="16" t="n"/>
      <c r="G116" s="16" t="n"/>
      <c r="H116" s="16" t="n"/>
    </row>
    <row r="117">
      <c r="A117" s="16" t="n"/>
      <c r="B117" s="16" t="n"/>
      <c r="C117" s="16" t="n"/>
      <c r="D117" s="16" t="n"/>
      <c r="E117" s="16" t="n"/>
      <c r="F117" s="16" t="n"/>
      <c r="G117" s="16" t="n"/>
      <c r="H117" s="16" t="n"/>
    </row>
    <row r="118">
      <c r="A118" s="16" t="n"/>
      <c r="B118" s="16" t="n"/>
      <c r="C118" s="16" t="n"/>
      <c r="D118" s="16" t="n"/>
      <c r="E118" s="16" t="n"/>
      <c r="F118" s="16" t="n"/>
      <c r="G118" s="16" t="n"/>
      <c r="H118" s="16" t="n"/>
    </row>
    <row r="119">
      <c r="A119" s="16" t="n"/>
      <c r="B119" s="16" t="n"/>
      <c r="C119" s="16" t="n"/>
      <c r="D119" s="16" t="n"/>
      <c r="E119" s="16" t="n"/>
      <c r="F119" s="16" t="n"/>
      <c r="G119" s="16" t="n"/>
      <c r="H119" s="16" t="n"/>
    </row>
    <row r="120">
      <c r="A120" s="16" t="n"/>
      <c r="B120" s="16" t="n"/>
      <c r="C120" s="16" t="n"/>
      <c r="D120" s="16" t="n"/>
      <c r="E120" s="16" t="n"/>
      <c r="F120" s="16" t="n"/>
      <c r="G120" s="16" t="n"/>
      <c r="H120" s="16" t="n"/>
    </row>
    <row r="121">
      <c r="A121" s="16" t="n"/>
      <c r="B121" s="16" t="n"/>
      <c r="C121" s="16" t="n"/>
      <c r="D121" s="16" t="n"/>
      <c r="E121" s="16" t="n"/>
      <c r="F121" s="16" t="n"/>
      <c r="G121" s="16" t="n"/>
      <c r="H121" s="16" t="n"/>
    </row>
    <row r="122">
      <c r="A122" s="16" t="n"/>
      <c r="B122" s="16" t="n"/>
      <c r="C122" s="16" t="n"/>
      <c r="D122" s="16" t="n"/>
      <c r="E122" s="16" t="n"/>
      <c r="F122" s="16" t="n"/>
      <c r="G122" s="16" t="n"/>
      <c r="H122" s="16" t="n"/>
    </row>
    <row r="123">
      <c r="A123" s="16" t="n"/>
      <c r="B123" s="16" t="n"/>
      <c r="C123" s="16" t="n"/>
      <c r="D123" s="16" t="n"/>
      <c r="E123" s="16" t="n"/>
      <c r="F123" s="16" t="n"/>
      <c r="G123" s="16" t="n"/>
      <c r="H123" s="16" t="n"/>
    </row>
    <row r="124">
      <c r="A124" s="16" t="n"/>
      <c r="B124" s="16" t="n"/>
      <c r="C124" s="16" t="n"/>
      <c r="D124" s="16" t="n"/>
      <c r="E124" s="16" t="n"/>
      <c r="F124" s="16" t="n"/>
      <c r="G124" s="16" t="n"/>
      <c r="H124" s="16" t="n"/>
    </row>
    <row r="125">
      <c r="A125" s="16" t="n"/>
      <c r="B125" s="16" t="n"/>
      <c r="C125" s="16" t="n"/>
      <c r="D125" s="16" t="n"/>
      <c r="E125" s="16" t="n"/>
      <c r="F125" s="16" t="n"/>
      <c r="G125" s="16" t="n"/>
      <c r="H125" s="16" t="n"/>
    </row>
    <row r="126">
      <c r="A126" s="16" t="n"/>
      <c r="B126" s="16" t="n"/>
      <c r="C126" s="16" t="n"/>
      <c r="D126" s="16" t="n"/>
      <c r="E126" s="16" t="n"/>
      <c r="F126" s="16" t="n"/>
      <c r="G126" s="16" t="n"/>
      <c r="H126" s="16" t="n"/>
    </row>
    <row r="127">
      <c r="A127" s="16" t="n"/>
      <c r="B127" s="16" t="n"/>
      <c r="C127" s="16" t="n"/>
      <c r="D127" s="16" t="n"/>
      <c r="E127" s="16" t="n"/>
      <c r="F127" s="16" t="n"/>
      <c r="G127" s="16" t="n"/>
      <c r="H127" s="16" t="n"/>
    </row>
    <row r="128">
      <c r="A128" s="16" t="n"/>
      <c r="B128" s="16" t="n"/>
      <c r="C128" s="16" t="n"/>
      <c r="D128" s="16" t="n"/>
      <c r="E128" s="16" t="n"/>
      <c r="F128" s="16" t="n"/>
      <c r="G128" s="16" t="n"/>
      <c r="H128" s="16" t="n"/>
    </row>
    <row r="129">
      <c r="A129" s="16" t="n"/>
      <c r="B129" s="16" t="n"/>
      <c r="C129" s="16" t="n"/>
      <c r="D129" s="16" t="n"/>
      <c r="E129" s="16" t="n"/>
      <c r="F129" s="16" t="n"/>
      <c r="G129" s="16" t="n"/>
      <c r="H129" s="16" t="n"/>
    </row>
    <row r="130">
      <c r="A130" s="16" t="n"/>
      <c r="B130" s="16" t="n"/>
      <c r="C130" s="16" t="n"/>
      <c r="D130" s="16" t="n"/>
      <c r="E130" s="16" t="n"/>
      <c r="F130" s="16" t="n"/>
      <c r="G130" s="16" t="n"/>
      <c r="H130" s="16" t="n"/>
    </row>
    <row r="131">
      <c r="A131" s="16" t="n"/>
      <c r="B131" s="16" t="n"/>
      <c r="C131" s="16" t="n"/>
      <c r="D131" s="16" t="n"/>
      <c r="E131" s="16" t="n"/>
      <c r="F131" s="16" t="n"/>
      <c r="G131" s="16" t="n"/>
      <c r="H131" s="16" t="n"/>
    </row>
    <row r="132">
      <c r="A132" s="16" t="n"/>
      <c r="B132" s="16" t="n"/>
      <c r="C132" s="16" t="n"/>
      <c r="D132" s="16" t="n"/>
      <c r="E132" s="16" t="n"/>
      <c r="F132" s="16" t="n"/>
      <c r="G132" s="16" t="n"/>
      <c r="H132" s="16" t="n"/>
    </row>
    <row r="133">
      <c r="A133" s="16" t="n"/>
      <c r="B133" s="16" t="n"/>
      <c r="C133" s="16" t="n"/>
      <c r="D133" s="16" t="n"/>
      <c r="E133" s="16" t="n"/>
      <c r="F133" s="16" t="n"/>
      <c r="G133" s="16" t="n"/>
      <c r="H133" s="16" t="n"/>
    </row>
    <row r="134">
      <c r="A134" s="16" t="n"/>
      <c r="B134" s="16" t="n"/>
      <c r="C134" s="16" t="n"/>
      <c r="D134" s="16" t="n"/>
      <c r="E134" s="16" t="n"/>
      <c r="F134" s="16" t="n"/>
      <c r="G134" s="16" t="n"/>
      <c r="H134" s="16" t="n"/>
    </row>
    <row r="135">
      <c r="A135" s="16" t="n"/>
      <c r="B135" s="16" t="n"/>
      <c r="C135" s="16" t="n"/>
      <c r="D135" s="16" t="n"/>
      <c r="E135" s="16" t="n"/>
      <c r="F135" s="16" t="n"/>
      <c r="G135" s="16" t="n"/>
      <c r="H135" s="16" t="n"/>
    </row>
    <row r="136">
      <c r="A136" s="16" t="n"/>
      <c r="B136" s="16" t="n"/>
      <c r="C136" s="16" t="n"/>
      <c r="D136" s="16" t="n"/>
      <c r="E136" s="16" t="n"/>
      <c r="F136" s="16" t="n"/>
      <c r="G136" s="16" t="n"/>
      <c r="H136" s="16" t="n"/>
    </row>
    <row r="137">
      <c r="A137" s="16" t="n"/>
      <c r="B137" s="16" t="n"/>
      <c r="C137" s="16" t="n"/>
      <c r="D137" s="16" t="n"/>
      <c r="E137" s="16" t="n"/>
      <c r="F137" s="16" t="n"/>
      <c r="G137" s="16" t="n"/>
      <c r="H137" s="16" t="n"/>
    </row>
    <row r="138">
      <c r="A138" s="16" t="n"/>
      <c r="B138" s="16" t="n"/>
      <c r="C138" s="16" t="n"/>
      <c r="D138" s="16" t="n"/>
      <c r="E138" s="16" t="n"/>
      <c r="F138" s="16" t="n"/>
      <c r="G138" s="16" t="n"/>
      <c r="H138" s="16" t="n"/>
    </row>
    <row r="139">
      <c r="A139" s="16" t="n"/>
      <c r="B139" s="16" t="n"/>
      <c r="C139" s="16" t="n"/>
      <c r="D139" s="16" t="n"/>
      <c r="E139" s="16" t="n"/>
      <c r="F139" s="16" t="n"/>
      <c r="G139" s="16" t="n"/>
      <c r="H139" s="16" t="n"/>
    </row>
    <row r="140">
      <c r="A140" s="16" t="n"/>
      <c r="B140" s="16" t="n"/>
      <c r="C140" s="16" t="n"/>
      <c r="D140" s="16" t="n"/>
      <c r="E140" s="16" t="n"/>
      <c r="F140" s="16" t="n"/>
      <c r="G140" s="16" t="n"/>
      <c r="H140" s="16" t="n"/>
    </row>
    <row r="141">
      <c r="A141" s="16" t="n"/>
      <c r="B141" s="16" t="n"/>
      <c r="C141" s="16" t="n"/>
      <c r="D141" s="16" t="n"/>
      <c r="E141" s="16" t="n"/>
      <c r="F141" s="16" t="n"/>
      <c r="G141" s="16" t="n"/>
      <c r="H141" s="16" t="n"/>
    </row>
    <row r="142">
      <c r="A142" s="16" t="n"/>
      <c r="B142" s="16" t="n"/>
      <c r="C142" s="16" t="n"/>
      <c r="D142" s="16" t="n"/>
      <c r="E142" s="16" t="n"/>
      <c r="F142" s="16" t="n"/>
      <c r="G142" s="16" t="n"/>
      <c r="H142" s="16" t="n"/>
    </row>
    <row r="143">
      <c r="A143" s="16" t="n"/>
      <c r="B143" s="16" t="n"/>
      <c r="C143" s="16" t="n"/>
      <c r="D143" s="16" t="n"/>
      <c r="E143" s="16" t="n"/>
      <c r="F143" s="16" t="n"/>
      <c r="G143" s="16" t="n"/>
      <c r="H143" s="16" t="n"/>
    </row>
    <row r="144">
      <c r="A144" s="16" t="n"/>
      <c r="B144" s="16" t="n"/>
      <c r="C144" s="16" t="n"/>
      <c r="D144" s="16" t="n"/>
      <c r="E144" s="16" t="n"/>
      <c r="F144" s="16" t="n"/>
      <c r="G144" s="16" t="n"/>
      <c r="H144" s="16" t="n"/>
    </row>
    <row r="145">
      <c r="A145" s="16" t="n"/>
      <c r="B145" s="16" t="n"/>
      <c r="C145" s="16" t="n"/>
      <c r="D145" s="16" t="n"/>
      <c r="E145" s="16" t="n"/>
      <c r="F145" s="16" t="n"/>
      <c r="G145" s="16" t="n"/>
      <c r="H145" s="16" t="n"/>
    </row>
    <row r="146">
      <c r="A146" s="16" t="n"/>
      <c r="B146" s="16" t="n"/>
      <c r="C146" s="16" t="n"/>
      <c r="D146" s="16" t="n"/>
      <c r="E146" s="16" t="n"/>
      <c r="F146" s="16" t="n"/>
      <c r="G146" s="16" t="n"/>
      <c r="H146" s="16" t="n"/>
    </row>
    <row r="147">
      <c r="A147" s="16" t="n"/>
      <c r="B147" s="16" t="n"/>
      <c r="C147" s="16" t="n"/>
      <c r="D147" s="16" t="n"/>
      <c r="E147" s="16" t="n"/>
      <c r="F147" s="16" t="n"/>
      <c r="G147" s="16" t="n"/>
      <c r="H147" s="16" t="n"/>
    </row>
    <row r="148">
      <c r="A148" s="16" t="n"/>
      <c r="B148" s="16" t="n"/>
      <c r="C148" s="16" t="n"/>
      <c r="D148" s="16" t="n"/>
      <c r="E148" s="16" t="n"/>
      <c r="F148" s="16" t="n"/>
      <c r="G148" s="16" t="n"/>
      <c r="H148" s="16" t="n"/>
    </row>
    <row r="149">
      <c r="A149" s="16" t="n"/>
      <c r="B149" s="16" t="n"/>
      <c r="C149" s="16" t="n"/>
      <c r="D149" s="16" t="n"/>
      <c r="E149" s="16" t="n"/>
      <c r="F149" s="16" t="n"/>
      <c r="G149" s="16" t="n"/>
      <c r="H149" s="16" t="n"/>
    </row>
    <row r="150">
      <c r="A150" s="16" t="n"/>
      <c r="B150" s="16" t="n"/>
      <c r="C150" s="16" t="n"/>
      <c r="D150" s="16" t="n"/>
      <c r="E150" s="16" t="n"/>
      <c r="F150" s="16" t="n"/>
      <c r="G150" s="16" t="n"/>
      <c r="H150" s="16" t="n"/>
    </row>
    <row r="151">
      <c r="A151" s="16" t="n"/>
      <c r="B151" s="16" t="n"/>
      <c r="C151" s="16" t="n"/>
      <c r="D151" s="16" t="n"/>
      <c r="E151" s="16" t="n"/>
      <c r="F151" s="16" t="n"/>
      <c r="G151" s="16" t="n"/>
      <c r="H151" s="16" t="n"/>
    </row>
    <row r="152">
      <c r="A152" s="16" t="n"/>
      <c r="B152" s="16" t="n"/>
      <c r="C152" s="16" t="n"/>
      <c r="D152" s="16" t="n"/>
      <c r="E152" s="16" t="n"/>
      <c r="F152" s="16" t="n"/>
      <c r="G152" s="16" t="n"/>
      <c r="H152" s="16" t="n"/>
    </row>
    <row r="153">
      <c r="A153" s="16" t="n"/>
      <c r="B153" s="16" t="n"/>
      <c r="C153" s="16" t="n"/>
      <c r="D153" s="16" t="n"/>
      <c r="E153" s="16" t="n"/>
      <c r="F153" s="16" t="n"/>
      <c r="G153" s="16" t="n"/>
      <c r="H153" s="16" t="n"/>
    </row>
    <row r="154">
      <c r="A154" s="16" t="n"/>
      <c r="B154" s="16" t="n"/>
      <c r="C154" s="16" t="n"/>
      <c r="D154" s="16" t="n"/>
      <c r="E154" s="16" t="n"/>
      <c r="F154" s="16" t="n"/>
      <c r="G154" s="16" t="n"/>
      <c r="H154" s="16" t="n"/>
    </row>
    <row r="155">
      <c r="A155" s="16" t="n"/>
      <c r="B155" s="16" t="n"/>
      <c r="C155" s="16" t="n"/>
      <c r="D155" s="16" t="n"/>
      <c r="E155" s="16" t="n"/>
      <c r="F155" s="16" t="n"/>
      <c r="G155" s="16" t="n"/>
      <c r="H155" s="16" t="n"/>
    </row>
    <row r="156">
      <c r="A156" s="16" t="n"/>
      <c r="B156" s="16" t="n"/>
      <c r="C156" s="16" t="n"/>
      <c r="D156" s="16" t="n"/>
      <c r="E156" s="16" t="n"/>
      <c r="F156" s="16" t="n"/>
      <c r="G156" s="16" t="n"/>
      <c r="H156" s="16" t="n"/>
    </row>
    <row r="157">
      <c r="A157" s="16" t="n"/>
      <c r="B157" s="16" t="n"/>
      <c r="C157" s="16" t="n"/>
      <c r="D157" s="16" t="n"/>
      <c r="E157" s="16" t="n"/>
      <c r="F157" s="16" t="n"/>
      <c r="G157" s="16" t="n"/>
      <c r="H157" s="16" t="n"/>
    </row>
    <row r="158">
      <c r="A158" s="16" t="n"/>
      <c r="B158" s="16" t="n"/>
      <c r="C158" s="16" t="n"/>
      <c r="D158" s="16" t="n"/>
      <c r="E158" s="16" t="n"/>
      <c r="F158" s="16" t="n"/>
      <c r="G158" s="16" t="n"/>
      <c r="H158" s="16" t="n"/>
    </row>
    <row r="159">
      <c r="A159" s="16" t="n"/>
      <c r="B159" s="16" t="n"/>
      <c r="C159" s="16" t="n"/>
      <c r="D159" s="16" t="n"/>
      <c r="E159" s="16" t="n"/>
      <c r="F159" s="16" t="n"/>
      <c r="G159" s="16" t="n"/>
      <c r="H159" s="16" t="n"/>
    </row>
    <row r="160">
      <c r="A160" s="16" t="n"/>
      <c r="B160" s="16" t="n"/>
      <c r="C160" s="16" t="n"/>
      <c r="D160" s="16" t="n"/>
      <c r="E160" s="16" t="n"/>
      <c r="F160" s="16" t="n"/>
      <c r="G160" s="16" t="n"/>
      <c r="H160" s="16" t="n"/>
    </row>
    <row r="161">
      <c r="A161" s="16" t="n"/>
      <c r="B161" s="16" t="n"/>
      <c r="C161" s="16" t="n"/>
      <c r="D161" s="16" t="n"/>
      <c r="E161" s="16" t="n"/>
      <c r="F161" s="16" t="n"/>
      <c r="G161" s="16" t="n"/>
      <c r="H161" s="16" t="n"/>
    </row>
    <row r="162">
      <c r="A162" s="16" t="n"/>
      <c r="B162" s="16" t="n"/>
      <c r="C162" s="16" t="n"/>
      <c r="D162" s="16" t="n"/>
      <c r="E162" s="16" t="n"/>
      <c r="F162" s="16" t="n"/>
      <c r="G162" s="16" t="n"/>
      <c r="H162" s="16" t="n"/>
    </row>
    <row r="163">
      <c r="A163" s="16" t="n"/>
      <c r="B163" s="16" t="n"/>
      <c r="C163" s="16" t="n"/>
      <c r="D163" s="16" t="n"/>
      <c r="E163" s="16" t="n"/>
      <c r="F163" s="16" t="n"/>
      <c r="G163" s="16" t="n"/>
      <c r="H163" s="16" t="n"/>
    </row>
    <row r="164">
      <c r="A164" s="16" t="n"/>
      <c r="B164" s="16" t="n"/>
      <c r="C164" s="16" t="n"/>
      <c r="D164" s="16" t="n"/>
      <c r="E164" s="16" t="n"/>
      <c r="F164" s="16" t="n"/>
      <c r="G164" s="16" t="n"/>
      <c r="H164" s="16" t="n"/>
    </row>
    <row r="165">
      <c r="A165" s="16" t="n"/>
      <c r="B165" s="16" t="n"/>
      <c r="C165" s="16" t="n"/>
      <c r="D165" s="16" t="n"/>
      <c r="E165" s="16" t="n"/>
      <c r="F165" s="16" t="n"/>
      <c r="G165" s="16" t="n"/>
      <c r="H165" s="16" t="n"/>
    </row>
    <row r="166">
      <c r="A166" s="16" t="n"/>
      <c r="B166" s="16" t="n"/>
      <c r="C166" s="16" t="n"/>
      <c r="D166" s="16" t="n"/>
      <c r="E166" s="16" t="n"/>
      <c r="F166" s="16" t="n"/>
      <c r="G166" s="16" t="n"/>
      <c r="H166" s="16" t="n"/>
    </row>
    <row r="167">
      <c r="A167" s="16" t="n"/>
      <c r="B167" s="16" t="n"/>
      <c r="C167" s="16" t="n"/>
      <c r="D167" s="16" t="n"/>
      <c r="E167" s="16" t="n"/>
      <c r="F167" s="16" t="n"/>
      <c r="G167" s="16" t="n"/>
      <c r="H167" s="16" t="n"/>
    </row>
    <row r="168">
      <c r="A168" s="16" t="n"/>
      <c r="B168" s="16" t="n"/>
      <c r="C168" s="16" t="n"/>
      <c r="D168" s="16" t="n"/>
      <c r="E168" s="16" t="n"/>
      <c r="F168" s="16" t="n"/>
      <c r="G168" s="16" t="n"/>
      <c r="H168" s="16" t="n"/>
    </row>
    <row r="169">
      <c r="A169" s="16" t="n"/>
      <c r="B169" s="16" t="n"/>
      <c r="C169" s="16" t="n"/>
      <c r="D169" s="16" t="n"/>
      <c r="E169" s="16" t="n"/>
      <c r="F169" s="16" t="n"/>
      <c r="G169" s="16" t="n"/>
      <c r="H169" s="16" t="n"/>
    </row>
    <row r="170">
      <c r="A170" s="16" t="n"/>
      <c r="B170" s="16" t="n"/>
      <c r="C170" s="16" t="n"/>
      <c r="D170" s="16" t="n"/>
      <c r="E170" s="16" t="n"/>
      <c r="F170" s="16" t="n"/>
      <c r="G170" s="16" t="n"/>
      <c r="H170" s="16" t="n"/>
    </row>
    <row r="171">
      <c r="A171" s="16" t="n"/>
      <c r="B171" s="16" t="n"/>
      <c r="C171" s="16" t="n"/>
      <c r="D171" s="16" t="n"/>
      <c r="E171" s="16" t="n"/>
      <c r="F171" s="16" t="n"/>
      <c r="G171" s="16" t="n"/>
      <c r="H171" s="16" t="n"/>
    </row>
    <row r="172">
      <c r="A172" s="16" t="n"/>
      <c r="B172" s="16" t="n"/>
      <c r="C172" s="16" t="n"/>
      <c r="D172" s="16" t="n"/>
      <c r="E172" s="16" t="n"/>
      <c r="F172" s="16" t="n"/>
      <c r="G172" s="16" t="n"/>
      <c r="H172" s="16" t="n"/>
    </row>
    <row r="173">
      <c r="A173" s="16" t="n"/>
      <c r="B173" s="16" t="n"/>
      <c r="C173" s="16" t="n"/>
      <c r="D173" s="16" t="n"/>
      <c r="E173" s="16" t="n"/>
      <c r="F173" s="16" t="n"/>
      <c r="G173" s="16" t="n"/>
      <c r="H173" s="16" t="n"/>
    </row>
    <row r="174">
      <c r="A174" s="16" t="n"/>
      <c r="B174" s="16" t="n"/>
      <c r="C174" s="16" t="n"/>
      <c r="D174" s="16" t="n"/>
      <c r="E174" s="16" t="n"/>
      <c r="F174" s="16" t="n"/>
      <c r="G174" s="16" t="n"/>
      <c r="H174" s="16" t="n"/>
    </row>
    <row r="175">
      <c r="A175" s="16" t="n"/>
      <c r="B175" s="16" t="n"/>
      <c r="C175" s="16" t="n"/>
      <c r="D175" s="16" t="n"/>
      <c r="E175" s="16" t="n"/>
      <c r="F175" s="16" t="n"/>
      <c r="G175" s="16" t="n"/>
      <c r="H175" s="16" t="n"/>
    </row>
    <row r="176">
      <c r="A176" s="16" t="n"/>
      <c r="B176" s="16" t="n"/>
      <c r="C176" s="16" t="n"/>
      <c r="D176" s="16" t="n"/>
      <c r="E176" s="16" t="n"/>
      <c r="F176" s="16" t="n"/>
      <c r="G176" s="16" t="n"/>
      <c r="H176" s="16" t="n"/>
    </row>
    <row r="177">
      <c r="A177" s="16" t="n"/>
      <c r="B177" s="16" t="n"/>
      <c r="C177" s="16" t="n"/>
      <c r="D177" s="16" t="n"/>
      <c r="E177" s="16" t="n"/>
      <c r="F177" s="16" t="n"/>
      <c r="G177" s="16" t="n"/>
      <c r="H177" s="16" t="n"/>
    </row>
    <row r="178">
      <c r="A178" s="16" t="n"/>
      <c r="B178" s="16" t="n"/>
      <c r="C178" s="16" t="n"/>
      <c r="D178" s="16" t="n"/>
      <c r="E178" s="16" t="n"/>
      <c r="F178" s="16" t="n"/>
      <c r="G178" s="16" t="n"/>
      <c r="H178" s="16" t="n"/>
    </row>
    <row r="179">
      <c r="A179" s="16" t="n"/>
      <c r="B179" s="16" t="n"/>
      <c r="C179" s="16" t="n"/>
      <c r="D179" s="16" t="n"/>
      <c r="E179" s="16" t="n"/>
      <c r="F179" s="16" t="n"/>
      <c r="G179" s="16" t="n"/>
      <c r="H179" s="16" t="n"/>
    </row>
    <row r="180">
      <c r="A180" s="16" t="n"/>
      <c r="B180" s="16" t="n"/>
      <c r="C180" s="16" t="n"/>
      <c r="D180" s="16" t="n"/>
      <c r="E180" s="16" t="n"/>
      <c r="F180" s="16" t="n"/>
      <c r="G180" s="16" t="n"/>
      <c r="H180" s="16" t="n"/>
    </row>
    <row r="181">
      <c r="A181" s="16" t="n"/>
      <c r="B181" s="16" t="n"/>
      <c r="C181" s="16" t="n"/>
      <c r="D181" s="16" t="n"/>
      <c r="E181" s="16" t="n"/>
      <c r="F181" s="16" t="n"/>
      <c r="G181" s="16" t="n"/>
      <c r="H181" s="16" t="n"/>
    </row>
    <row r="182">
      <c r="A182" s="16" t="n"/>
      <c r="B182" s="16" t="n"/>
      <c r="C182" s="16" t="n"/>
      <c r="D182" s="16" t="n"/>
      <c r="E182" s="16" t="n"/>
      <c r="F182" s="16" t="n"/>
      <c r="G182" s="16" t="n"/>
      <c r="H182" s="16" t="n"/>
    </row>
    <row r="183">
      <c r="A183" s="16" t="n"/>
      <c r="B183" s="16" t="n"/>
      <c r="C183" s="16" t="n"/>
      <c r="D183" s="16" t="n"/>
      <c r="E183" s="16" t="n"/>
      <c r="F183" s="16" t="n"/>
      <c r="G183" s="16" t="n"/>
      <c r="H183" s="16" t="n"/>
    </row>
    <row r="184">
      <c r="A184" s="16" t="n"/>
      <c r="B184" s="16" t="n"/>
      <c r="C184" s="16" t="n"/>
      <c r="D184" s="16" t="n"/>
      <c r="E184" s="16" t="n"/>
      <c r="F184" s="16" t="n"/>
      <c r="G184" s="16" t="n"/>
      <c r="H184" s="16" t="n"/>
    </row>
    <row r="185">
      <c r="A185" s="16" t="n"/>
      <c r="B185" s="16" t="n"/>
      <c r="C185" s="16" t="n"/>
      <c r="D185" s="16" t="n"/>
      <c r="E185" s="16" t="n"/>
      <c r="F185" s="16" t="n"/>
      <c r="G185" s="16" t="n"/>
      <c r="H185" s="16" t="n"/>
    </row>
    <row r="186">
      <c r="A186" s="16" t="n"/>
      <c r="B186" s="16" t="n"/>
      <c r="C186" s="16" t="n"/>
      <c r="D186" s="16" t="n"/>
      <c r="E186" s="16" t="n"/>
      <c r="F186" s="16" t="n"/>
      <c r="G186" s="16" t="n"/>
      <c r="H186" s="16" t="n"/>
    </row>
    <row r="187">
      <c r="A187" s="16" t="n"/>
      <c r="B187" s="16" t="n"/>
      <c r="C187" s="16" t="n"/>
      <c r="D187" s="16" t="n"/>
      <c r="E187" s="16" t="n"/>
      <c r="F187" s="16" t="n"/>
      <c r="G187" s="16" t="n"/>
      <c r="H187" s="16" t="n"/>
    </row>
    <row r="188">
      <c r="A188" s="16" t="n"/>
      <c r="B188" s="16" t="n"/>
      <c r="C188" s="16" t="n"/>
      <c r="D188" s="16" t="n"/>
      <c r="E188" s="16" t="n"/>
      <c r="F188" s="16" t="n"/>
      <c r="G188" s="16" t="n"/>
      <c r="H188" s="16" t="n"/>
    </row>
    <row r="189">
      <c r="A189" s="16" t="n"/>
      <c r="B189" s="16" t="n"/>
      <c r="C189" s="16" t="n"/>
      <c r="D189" s="16" t="n"/>
      <c r="E189" s="16" t="n"/>
      <c r="F189" s="16" t="n"/>
      <c r="G189" s="16" t="n"/>
      <c r="H189" s="16" t="n"/>
    </row>
    <row r="190">
      <c r="A190" s="16" t="n"/>
      <c r="B190" s="16" t="n"/>
      <c r="C190" s="16" t="n"/>
      <c r="D190" s="16" t="n"/>
      <c r="E190" s="16" t="n"/>
      <c r="F190" s="16" t="n"/>
      <c r="G190" s="16" t="n"/>
      <c r="H190" s="16" t="n"/>
    </row>
    <row r="191">
      <c r="A191" s="16" t="n"/>
      <c r="B191" s="16" t="n"/>
      <c r="C191" s="16" t="n"/>
      <c r="D191" s="16" t="n"/>
      <c r="E191" s="16" t="n"/>
      <c r="F191" s="16" t="n"/>
      <c r="G191" s="16" t="n"/>
      <c r="H191" s="16" t="n"/>
    </row>
    <row r="192">
      <c r="A192" s="16" t="n"/>
      <c r="B192" s="16" t="n"/>
      <c r="C192" s="16" t="n"/>
      <c r="D192" s="16" t="n"/>
      <c r="E192" s="16" t="n"/>
      <c r="F192" s="16" t="n"/>
      <c r="G192" s="16" t="n"/>
      <c r="H192" s="16" t="n"/>
    </row>
    <row r="193">
      <c r="A193" s="16" t="n"/>
      <c r="B193" s="16" t="n"/>
      <c r="C193" s="16" t="n"/>
      <c r="D193" s="16" t="n"/>
      <c r="E193" s="16" t="n"/>
      <c r="F193" s="16" t="n"/>
      <c r="G193" s="16" t="n"/>
      <c r="H193" s="16" t="n"/>
    </row>
    <row r="194">
      <c r="A194" s="16" t="n"/>
      <c r="B194" s="16" t="n"/>
      <c r="C194" s="16" t="n"/>
      <c r="D194" s="16" t="n"/>
      <c r="E194" s="16" t="n"/>
      <c r="F194" s="16" t="n"/>
      <c r="G194" s="16" t="n"/>
      <c r="H194" s="16" t="n"/>
    </row>
    <row r="195">
      <c r="A195" s="16" t="n"/>
      <c r="B195" s="16" t="n"/>
      <c r="C195" s="16" t="n"/>
      <c r="D195" s="16" t="n"/>
      <c r="E195" s="16" t="n"/>
      <c r="F195" s="16" t="n"/>
      <c r="G195" s="16" t="n"/>
      <c r="H195" s="16" t="n"/>
    </row>
    <row r="196">
      <c r="A196" s="16" t="n"/>
      <c r="B196" s="16" t="n"/>
      <c r="C196" s="16" t="n"/>
      <c r="D196" s="16" t="n"/>
      <c r="E196" s="16" t="n"/>
      <c r="F196" s="16" t="n"/>
      <c r="G196" s="16" t="n"/>
      <c r="H196" s="16" t="n"/>
    </row>
    <row r="197">
      <c r="A197" s="16" t="n"/>
      <c r="B197" s="16" t="n"/>
      <c r="C197" s="16" t="n"/>
      <c r="D197" s="16" t="n"/>
      <c r="E197" s="16" t="n"/>
      <c r="F197" s="16" t="n"/>
      <c r="G197" s="16" t="n"/>
      <c r="H197" s="16" t="n"/>
    </row>
    <row r="198">
      <c r="A198" s="16" t="n"/>
      <c r="B198" s="16" t="n"/>
      <c r="C198" s="16" t="n"/>
      <c r="D198" s="16" t="n"/>
      <c r="E198" s="16" t="n"/>
      <c r="F198" s="16" t="n"/>
      <c r="G198" s="16" t="n"/>
      <c r="H198" s="16" t="n"/>
    </row>
    <row r="199">
      <c r="A199" s="16" t="n"/>
      <c r="B199" s="16" t="n"/>
      <c r="C199" s="16" t="n"/>
      <c r="D199" s="16" t="n"/>
      <c r="E199" s="16" t="n"/>
      <c r="F199" s="16" t="n"/>
      <c r="G199" s="16" t="n"/>
      <c r="H199" s="16" t="n"/>
    </row>
    <row r="200">
      <c r="A200" s="16" t="n"/>
      <c r="B200" s="16" t="n"/>
      <c r="C200" s="16" t="n"/>
      <c r="D200" s="16" t="n"/>
      <c r="E200" s="16" t="n"/>
      <c r="F200" s="16" t="n"/>
      <c r="G200" s="16" t="n"/>
      <c r="H200" s="16" t="n"/>
    </row>
    <row r="201">
      <c r="A201" s="16" t="n"/>
      <c r="B201" s="16" t="n"/>
      <c r="C201" s="16" t="n"/>
      <c r="D201" s="16" t="n"/>
      <c r="E201" s="16" t="n"/>
      <c r="F201" s="16" t="n"/>
      <c r="G201" s="16" t="n"/>
      <c r="H201" s="16" t="n"/>
    </row>
    <row r="202">
      <c r="A202" s="16" t="n"/>
      <c r="B202" s="16" t="n"/>
      <c r="C202" s="16" t="n"/>
      <c r="D202" s="16" t="n"/>
      <c r="E202" s="16" t="n"/>
      <c r="F202" s="16" t="n"/>
      <c r="G202" s="16" t="n"/>
      <c r="H202" s="16" t="n"/>
    </row>
    <row r="203">
      <c r="A203" s="16" t="n"/>
      <c r="B203" s="16" t="n"/>
      <c r="C203" s="16" t="n"/>
      <c r="D203" s="16" t="n"/>
      <c r="E203" s="16" t="n"/>
      <c r="F203" s="16" t="n"/>
      <c r="G203" s="16" t="n"/>
      <c r="H203" s="16" t="n"/>
    </row>
    <row r="204">
      <c r="A204" s="16" t="n"/>
      <c r="B204" s="16" t="n"/>
      <c r="C204" s="16" t="n"/>
      <c r="D204" s="16" t="n"/>
      <c r="E204" s="16" t="n"/>
      <c r="F204" s="16" t="n"/>
      <c r="G204" s="16" t="n"/>
      <c r="H204" s="16" t="n"/>
    </row>
    <row r="205">
      <c r="A205" s="16" t="n"/>
      <c r="B205" s="16" t="n"/>
      <c r="C205" s="16" t="n"/>
      <c r="D205" s="16" t="n"/>
      <c r="E205" s="16" t="n"/>
      <c r="F205" s="16" t="n"/>
      <c r="G205" s="16" t="n"/>
      <c r="H205" s="16" t="n"/>
    </row>
    <row r="206">
      <c r="A206" s="16" t="n"/>
      <c r="B206" s="16" t="n"/>
      <c r="C206" s="16" t="n"/>
      <c r="D206" s="16" t="n"/>
      <c r="E206" s="16" t="n"/>
      <c r="F206" s="16" t="n"/>
      <c r="G206" s="16" t="n"/>
      <c r="H206" s="16" t="n"/>
    </row>
    <row r="207">
      <c r="A207" s="16" t="n"/>
      <c r="B207" s="16" t="n"/>
      <c r="C207" s="16" t="n"/>
      <c r="D207" s="16" t="n"/>
      <c r="E207" s="16" t="n"/>
      <c r="F207" s="16" t="n"/>
      <c r="G207" s="16" t="n"/>
      <c r="H207" s="16" t="n"/>
    </row>
  </sheetData>
  <dataValidations count="2">
    <dataValidation sqref="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showDropDown="0" showInputMessage="0" showErrorMessage="0" allowBlank="1" type="list">
      <formula1>"OBLIGATION,TERM,DECLARED EXCLUSION,SILENCE"</formula1>
    </dataValidation>
    <dataValidation sqref="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showDropDown="0" showInputMessage="0" showErrorMessage="0" allowBlank="1" type="list">
      <formula1>"Yes - correct,Yes - WRONG,"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showGridLines="0" workbookViewId="0">
      <selection activeCell="A1" sqref="A1"/>
    </sheetView>
  </sheetViews>
  <sheetFormatPr baseColWidth="8" defaultRowHeight="15"/>
  <cols>
    <col width="20" customWidth="1" min="1" max="1"/>
    <col width="10" customWidth="1" min="2" max="2"/>
    <col width="14" customWidth="1" min="3" max="3"/>
    <col width="10" customWidth="1" min="4" max="4"/>
    <col width="18" customWidth="1" min="5" max="5"/>
    <col width="12" customWidth="1" min="6" max="6"/>
    <col width="12" customWidth="1" min="7" max="7"/>
  </cols>
  <sheetData>
    <row r="1">
      <c r="A1" s="1" t="inlineStr">
        <is>
          <t>Counts per response</t>
        </is>
      </c>
    </row>
    <row r="2">
      <c r="A2" s="4" t="inlineStr">
        <is>
          <t>Calculated from tab 4. A count is not a verdict: twenty-seven commitments are not better than nine unless they are the ones your purchase needs. These numbers describe documents; they rank nobody.</t>
        </is>
      </c>
    </row>
    <row r="4" ht="30" customHeight="1">
      <c r="A4" s="7" t="inlineStr">
        <is>
          <t>Response</t>
        </is>
      </c>
      <c r="B4" s="7" t="inlineStr">
        <is>
          <t>Pages</t>
        </is>
      </c>
      <c r="C4" s="7" t="inlineStr">
        <is>
          <t>Obligations</t>
        </is>
      </c>
      <c r="D4" s="7" t="inlineStr">
        <is>
          <t>Terms</t>
        </is>
      </c>
      <c r="E4" s="7" t="inlineStr">
        <is>
          <t>Declared exclusions</t>
        </is>
      </c>
      <c r="F4" s="7" t="inlineStr">
        <is>
          <t>Silences</t>
        </is>
      </c>
      <c r="G4" s="7" t="inlineStr">
        <is>
          <t>Findings</t>
        </is>
      </c>
    </row>
    <row r="5">
      <c r="A5" s="11" t="inlineStr">
        <is>
          <t>A Meridian</t>
        </is>
      </c>
      <c r="B5" s="12" t="n">
        <v>94</v>
      </c>
      <c r="C5" s="11">
        <f>COUNTIFS('4 Evidence'!$A:$A,$A5,'4 Evidence'!$B:$B,"OBLIGATION")</f>
        <v/>
      </c>
      <c r="D5" s="11">
        <f>COUNTIFS('4 Evidence'!$A:$A,$A5,'4 Evidence'!$B:$B,"TERM")</f>
        <v/>
      </c>
      <c r="E5" s="11">
        <f>COUNTIFS('4 Evidence'!$A:$A,$A5,'4 Evidence'!$B:$B,"DECLARED EXCLUSION")</f>
        <v/>
      </c>
      <c r="F5" s="11">
        <f>COUNTIFS('4 Evidence'!$A:$A,$A5,'4 Evidence'!$B:$B,"SILENCE")</f>
        <v/>
      </c>
      <c r="G5" s="11">
        <f>SUM(C5:F5)</f>
        <v/>
      </c>
    </row>
    <row r="6">
      <c r="A6" s="11" t="inlineStr">
        <is>
          <t>B Hartlowe</t>
        </is>
      </c>
      <c r="B6" s="12" t="n">
        <v>41</v>
      </c>
      <c r="C6" s="11">
        <f>COUNTIFS('4 Evidence'!$A:$A,$A6,'4 Evidence'!$B:$B,"OBLIGATION")</f>
        <v/>
      </c>
      <c r="D6" s="11">
        <f>COUNTIFS('4 Evidence'!$A:$A,$A6,'4 Evidence'!$B:$B,"TERM")</f>
        <v/>
      </c>
      <c r="E6" s="11">
        <f>COUNTIFS('4 Evidence'!$A:$A,$A6,'4 Evidence'!$B:$B,"DECLARED EXCLUSION")</f>
        <v/>
      </c>
      <c r="F6" s="11">
        <f>COUNTIFS('4 Evidence'!$A:$A,$A6,'4 Evidence'!$B:$B,"SILENCE")</f>
        <v/>
      </c>
      <c r="G6" s="11">
        <f>SUM(C6:F6)</f>
        <v/>
      </c>
    </row>
    <row r="7">
      <c r="A7" s="11" t="inlineStr">
        <is>
          <t>C Calderon</t>
        </is>
      </c>
      <c r="B7" s="12" t="n">
        <v>76</v>
      </c>
      <c r="C7" s="11">
        <f>COUNTIFS('4 Evidence'!$A:$A,$A7,'4 Evidence'!$B:$B,"OBLIGATION")</f>
        <v/>
      </c>
      <c r="D7" s="11">
        <f>COUNTIFS('4 Evidence'!$A:$A,$A7,'4 Evidence'!$B:$B,"TERM")</f>
        <v/>
      </c>
      <c r="E7" s="11">
        <f>COUNTIFS('4 Evidence'!$A:$A,$A7,'4 Evidence'!$B:$B,"DECLARED EXCLUSION")</f>
        <v/>
      </c>
      <c r="F7" s="11">
        <f>COUNTIFS('4 Evidence'!$A:$A,$A7,'4 Evidence'!$B:$B,"SILENCE")</f>
        <v/>
      </c>
      <c r="G7" s="11">
        <f>SUM(C7:F7)</f>
        <v/>
      </c>
    </row>
    <row r="8">
      <c r="A8" s="11" t="inlineStr">
        <is>
          <t>D Pellworth</t>
        </is>
      </c>
      <c r="B8" s="12" t="n">
        <v>58</v>
      </c>
      <c r="C8" s="11">
        <f>COUNTIFS('4 Evidence'!$A:$A,$A8,'4 Evidence'!$B:$B,"OBLIGATION")</f>
        <v/>
      </c>
      <c r="D8" s="11">
        <f>COUNTIFS('4 Evidence'!$A:$A,$A8,'4 Evidence'!$B:$B,"TERM")</f>
        <v/>
      </c>
      <c r="E8" s="11">
        <f>COUNTIFS('4 Evidence'!$A:$A,$A8,'4 Evidence'!$B:$B,"DECLARED EXCLUSION")</f>
        <v/>
      </c>
      <c r="F8" s="11">
        <f>COUNTIFS('4 Evidence'!$A:$A,$A8,'4 Evidence'!$B:$B,"SILENCE")</f>
        <v/>
      </c>
      <c r="G8" s="11">
        <f>SUM(C8:F8)</f>
        <v/>
      </c>
    </row>
    <row r="9">
      <c r="A9" s="5" t="inlineStr">
        <is>
          <t>TOTAL</t>
        </is>
      </c>
      <c r="C9" s="9">
        <f>SUM(C5:C8)</f>
        <v/>
      </c>
      <c r="D9" s="9">
        <f>SUM(D5:D8)</f>
        <v/>
      </c>
      <c r="E9" s="9">
        <f>SUM(E5:E8)</f>
        <v/>
      </c>
      <c r="F9" s="9">
        <f>SUM(F5:F8)</f>
        <v/>
      </c>
      <c r="G9" s="9">
        <f>SUM(G5:G8)</f>
        <v/>
      </c>
    </row>
    <row r="11">
      <c r="A11" s="5" t="inlineStr">
        <is>
          <t>Read order. Record it: first-read anchoring is the strongest distortion after the weights</t>
        </is>
      </c>
    </row>
    <row r="12">
      <c r="A12" s="6" t="inlineStr">
        <is>
          <t>A, B, C, D as received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7"/>
  <sheetViews>
    <sheetView showGridLines="0" workbookViewId="0">
      <selection activeCell="A1" sqref="A1"/>
    </sheetView>
  </sheetViews>
  <sheetFormatPr baseColWidth="8" defaultRowHeight="15"/>
  <cols>
    <col width="6" customWidth="1" min="1" max="1"/>
    <col width="74" customWidth="1" min="2" max="2"/>
    <col width="18" customWidth="1" min="3" max="3"/>
    <col width="16" customWidth="1" min="4" max="4"/>
  </cols>
  <sheetData>
    <row r="1">
      <c r="A1" s="1" t="inlineStr">
        <is>
          <t>The difference pass</t>
        </is>
      </c>
    </row>
    <row r="2">
      <c r="A2" s="4" t="inlineStr">
        <is>
          <t>Obligations only, one row per commitment key. A commitment every response makes is not a difference; one some make and others do not is. Split a key wherever scope, conditions or exceptions differ. The count depends on the grouping: treat it as a map of where to look, not as a finding.</t>
        </is>
      </c>
    </row>
    <row r="4" ht="30" customHeight="1">
      <c r="A4" s="7" t="inlineStr">
        <is>
          <t>#</t>
        </is>
      </c>
      <c r="B4" s="7" t="inlineStr">
        <is>
          <t>The real difference</t>
        </is>
      </c>
      <c r="C4" s="7" t="inlineStr">
        <is>
          <t>Carried by</t>
        </is>
      </c>
      <c r="D4" s="7" t="inlineStr">
        <is>
          <t>Clause</t>
        </is>
      </c>
    </row>
    <row r="5">
      <c r="A5" s="10" t="inlineStr">
        <is>
          <t>ex</t>
        </is>
      </c>
      <c r="B5" s="10" t="inlineStr">
        <is>
          <t>(example) Elapsed dispatch time reported per order line, from day one</t>
        </is>
      </c>
      <c r="C5" s="10" t="inlineStr">
        <is>
          <t>B</t>
        </is>
      </c>
      <c r="D5" s="10" t="inlineStr">
        <is>
          <t>B2, B3</t>
        </is>
      </c>
    </row>
    <row r="6">
      <c r="A6" s="14" t="n">
        <v>1</v>
      </c>
      <c r="B6" s="16" t="n"/>
      <c r="C6" s="16" t="n"/>
      <c r="D6" s="16" t="n"/>
    </row>
    <row r="7">
      <c r="A7" s="14" t="n">
        <v>2</v>
      </c>
      <c r="B7" s="16" t="n"/>
      <c r="C7" s="16" t="n"/>
      <c r="D7" s="16" t="n"/>
    </row>
    <row r="8">
      <c r="A8" s="14" t="n">
        <v>3</v>
      </c>
      <c r="B8" s="16" t="n"/>
      <c r="C8" s="16" t="n"/>
      <c r="D8" s="16" t="n"/>
    </row>
    <row r="9">
      <c r="A9" s="14" t="n">
        <v>4</v>
      </c>
      <c r="B9" s="16" t="n"/>
      <c r="C9" s="16" t="n"/>
      <c r="D9" s="16" t="n"/>
    </row>
    <row r="10">
      <c r="A10" s="14" t="n">
        <v>5</v>
      </c>
      <c r="B10" s="16" t="n"/>
      <c r="C10" s="16" t="n"/>
      <c r="D10" s="16" t="n"/>
    </row>
    <row r="11">
      <c r="A11" s="14" t="n">
        <v>6</v>
      </c>
      <c r="B11" s="16" t="n"/>
      <c r="C11" s="16" t="n"/>
      <c r="D11" s="16" t="n"/>
    </row>
    <row r="12">
      <c r="A12" s="14" t="n">
        <v>7</v>
      </c>
      <c r="B12" s="16" t="n"/>
      <c r="C12" s="16" t="n"/>
      <c r="D12" s="16" t="n"/>
    </row>
    <row r="13">
      <c r="A13" s="14" t="n">
        <v>8</v>
      </c>
      <c r="B13" s="16" t="n"/>
      <c r="C13" s="16" t="n"/>
      <c r="D13" s="16" t="n"/>
    </row>
    <row r="14">
      <c r="A14" s="14" t="n">
        <v>9</v>
      </c>
      <c r="B14" s="16" t="n"/>
      <c r="C14" s="16" t="n"/>
      <c r="D14" s="16" t="n"/>
    </row>
    <row r="15">
      <c r="A15" s="14" t="n">
        <v>10</v>
      </c>
      <c r="B15" s="16" t="n"/>
      <c r="C15" s="16" t="n"/>
      <c r="D15" s="16" t="n"/>
    </row>
    <row r="16">
      <c r="A16" s="14" t="n">
        <v>11</v>
      </c>
      <c r="B16" s="16" t="n"/>
      <c r="C16" s="16" t="n"/>
      <c r="D16" s="16" t="n"/>
    </row>
    <row r="17">
      <c r="A17" s="14" t="n">
        <v>12</v>
      </c>
      <c r="B17" s="16" t="n"/>
      <c r="C17" s="16" t="n"/>
      <c r="D17" s="16" t="n"/>
    </row>
    <row r="18">
      <c r="A18" s="14" t="n">
        <v>13</v>
      </c>
      <c r="B18" s="16" t="n"/>
      <c r="C18" s="16" t="n"/>
      <c r="D18" s="16" t="n"/>
    </row>
    <row r="19">
      <c r="A19" s="14" t="n">
        <v>14</v>
      </c>
      <c r="B19" s="16" t="n"/>
      <c r="C19" s="16" t="n"/>
      <c r="D19" s="16" t="n"/>
    </row>
    <row r="20">
      <c r="A20" s="14" t="n">
        <v>15</v>
      </c>
      <c r="B20" s="16" t="n"/>
      <c r="C20" s="16" t="n"/>
      <c r="D20" s="16" t="n"/>
    </row>
    <row r="21">
      <c r="A21" s="14" t="n">
        <v>16</v>
      </c>
      <c r="B21" s="16" t="n"/>
      <c r="C21" s="16" t="n"/>
      <c r="D21" s="16" t="n"/>
    </row>
    <row r="22">
      <c r="A22" s="14" t="n">
        <v>17</v>
      </c>
      <c r="B22" s="16" t="n"/>
      <c r="C22" s="16" t="n"/>
      <c r="D22" s="16" t="n"/>
    </row>
    <row r="23">
      <c r="A23" s="14" t="n">
        <v>18</v>
      </c>
      <c r="B23" s="16" t="n"/>
      <c r="C23" s="16" t="n"/>
      <c r="D23" s="16" t="n"/>
    </row>
    <row r="24">
      <c r="A24" s="14" t="n">
        <v>19</v>
      </c>
      <c r="B24" s="16" t="n"/>
      <c r="C24" s="16" t="n"/>
      <c r="D24" s="16" t="n"/>
    </row>
    <row r="25">
      <c r="A25" s="14" t="n">
        <v>20</v>
      </c>
      <c r="B25" s="16" t="n"/>
      <c r="C25" s="16" t="n"/>
      <c r="D25" s="16" t="n"/>
    </row>
    <row r="26">
      <c r="A26" s="14" t="n">
        <v>21</v>
      </c>
      <c r="B26" s="16" t="n"/>
      <c r="C26" s="16" t="n"/>
      <c r="D26" s="16" t="n"/>
    </row>
    <row r="27">
      <c r="A27" s="14" t="n">
        <v>22</v>
      </c>
      <c r="B27" s="16" t="n"/>
      <c r="C27" s="16" t="n"/>
      <c r="D27" s="16" t="n"/>
    </row>
    <row r="28">
      <c r="A28" s="14" t="n">
        <v>23</v>
      </c>
      <c r="B28" s="16" t="n"/>
      <c r="C28" s="16" t="n"/>
      <c r="D28" s="16" t="n"/>
    </row>
    <row r="29">
      <c r="A29" s="14" t="n">
        <v>24</v>
      </c>
      <c r="B29" s="16" t="n"/>
      <c r="C29" s="16" t="n"/>
      <c r="D29" s="16" t="n"/>
    </row>
    <row r="30">
      <c r="A30" s="14" t="n">
        <v>25</v>
      </c>
      <c r="B30" s="16" t="n"/>
      <c r="C30" s="16" t="n"/>
      <c r="D30" s="16" t="n"/>
    </row>
    <row r="31">
      <c r="A31" s="14" t="n">
        <v>26</v>
      </c>
      <c r="B31" s="16" t="n"/>
      <c r="C31" s="16" t="n"/>
      <c r="D31" s="16" t="n"/>
    </row>
    <row r="32">
      <c r="A32" s="14" t="n">
        <v>27</v>
      </c>
      <c r="B32" s="16" t="n"/>
      <c r="C32" s="16" t="n"/>
      <c r="D32" s="16" t="n"/>
    </row>
    <row r="33">
      <c r="A33" s="14" t="n">
        <v>28</v>
      </c>
      <c r="B33" s="16" t="n"/>
      <c r="C33" s="16" t="n"/>
      <c r="D33" s="16" t="n"/>
    </row>
    <row r="34">
      <c r="A34" s="14" t="n">
        <v>29</v>
      </c>
      <c r="B34" s="16" t="n"/>
      <c r="C34" s="16" t="n"/>
      <c r="D34" s="16" t="n"/>
    </row>
    <row r="35">
      <c r="A35" s="14" t="n">
        <v>30</v>
      </c>
      <c r="B35" s="16" t="n"/>
      <c r="C35" s="16" t="n"/>
      <c r="D35" s="16" t="n"/>
    </row>
    <row r="36">
      <c r="A36" s="14" t="n">
        <v>31</v>
      </c>
      <c r="B36" s="16" t="n"/>
      <c r="C36" s="16" t="n"/>
      <c r="D36" s="16" t="n"/>
    </row>
    <row r="37">
      <c r="A37" s="14" t="n">
        <v>32</v>
      </c>
      <c r="B37" s="16" t="n"/>
      <c r="C37" s="16" t="n"/>
      <c r="D37" s="16" t="n"/>
    </row>
    <row r="38">
      <c r="A38" s="14" t="n">
        <v>33</v>
      </c>
      <c r="B38" s="16" t="n"/>
      <c r="C38" s="16" t="n"/>
      <c r="D38" s="16" t="n"/>
    </row>
    <row r="39">
      <c r="A39" s="14" t="n">
        <v>34</v>
      </c>
      <c r="B39" s="16" t="n"/>
      <c r="C39" s="16" t="n"/>
      <c r="D39" s="16" t="n"/>
    </row>
    <row r="40">
      <c r="A40" s="14" t="n">
        <v>35</v>
      </c>
      <c r="B40" s="16" t="n"/>
      <c r="C40" s="16" t="n"/>
      <c r="D40" s="16" t="n"/>
    </row>
    <row r="41">
      <c r="A41" s="14" t="n">
        <v>36</v>
      </c>
      <c r="B41" s="16" t="n"/>
      <c r="C41" s="16" t="n"/>
      <c r="D41" s="16" t="n"/>
    </row>
    <row r="42">
      <c r="A42" s="14" t="n">
        <v>37</v>
      </c>
      <c r="B42" s="16" t="n"/>
      <c r="C42" s="16" t="n"/>
      <c r="D42" s="16" t="n"/>
    </row>
    <row r="43">
      <c r="A43" s="14" t="n">
        <v>38</v>
      </c>
      <c r="B43" s="16" t="n"/>
      <c r="C43" s="16" t="n"/>
      <c r="D43" s="16" t="n"/>
    </row>
    <row r="44">
      <c r="A44" s="14" t="n">
        <v>39</v>
      </c>
      <c r="B44" s="16" t="n"/>
      <c r="C44" s="16" t="n"/>
      <c r="D44" s="16" t="n"/>
    </row>
    <row r="45">
      <c r="A45" s="14" t="n">
        <v>40</v>
      </c>
      <c r="B45" s="16" t="n"/>
      <c r="C45" s="16" t="n"/>
      <c r="D45" s="16" t="n"/>
    </row>
    <row r="46">
      <c r="A46" s="14" t="n">
        <v>41</v>
      </c>
      <c r="B46" s="16" t="n"/>
      <c r="C46" s="16" t="n"/>
      <c r="D46" s="16" t="n"/>
    </row>
    <row r="47">
      <c r="A47" s="14" t="n">
        <v>42</v>
      </c>
      <c r="B47" s="16" t="n"/>
      <c r="C47" s="16" t="n"/>
      <c r="D47" s="16" t="n"/>
    </row>
    <row r="48">
      <c r="A48" s="14" t="n">
        <v>43</v>
      </c>
      <c r="B48" s="16" t="n"/>
      <c r="C48" s="16" t="n"/>
      <c r="D48" s="16" t="n"/>
    </row>
    <row r="49">
      <c r="A49" s="14" t="n">
        <v>44</v>
      </c>
      <c r="B49" s="16" t="n"/>
      <c r="C49" s="16" t="n"/>
      <c r="D49" s="16" t="n"/>
    </row>
    <row r="50">
      <c r="A50" s="14" t="n">
        <v>45</v>
      </c>
      <c r="B50" s="16" t="n"/>
      <c r="C50" s="16" t="n"/>
      <c r="D50" s="16" t="n"/>
    </row>
    <row r="51">
      <c r="A51" s="14" t="n">
        <v>46</v>
      </c>
      <c r="B51" s="16" t="n"/>
      <c r="C51" s="16" t="n"/>
      <c r="D51" s="16" t="n"/>
    </row>
    <row r="52">
      <c r="A52" s="14" t="n">
        <v>47</v>
      </c>
      <c r="B52" s="16" t="n"/>
      <c r="C52" s="16" t="n"/>
      <c r="D52" s="16" t="n"/>
    </row>
    <row r="53">
      <c r="A53" s="14" t="n">
        <v>48</v>
      </c>
      <c r="B53" s="16" t="n"/>
      <c r="C53" s="16" t="n"/>
      <c r="D53" s="16" t="n"/>
    </row>
    <row r="54">
      <c r="A54" s="14" t="n">
        <v>49</v>
      </c>
      <c r="B54" s="16" t="n"/>
      <c r="C54" s="16" t="n"/>
      <c r="D54" s="16" t="n"/>
    </row>
    <row r="55">
      <c r="A55" s="14" t="n">
        <v>50</v>
      </c>
      <c r="B55" s="16" t="n"/>
      <c r="C55" s="16" t="n"/>
      <c r="D55" s="16" t="n"/>
    </row>
    <row r="56">
      <c r="A56" s="14" t="n">
        <v>51</v>
      </c>
      <c r="B56" s="16" t="n"/>
      <c r="C56" s="16" t="n"/>
      <c r="D56" s="16" t="n"/>
    </row>
    <row r="57">
      <c r="A57" s="14" t="n">
        <v>52</v>
      </c>
      <c r="B57" s="16" t="n"/>
      <c r="C57" s="16" t="n"/>
      <c r="D57" s="16" t="n"/>
    </row>
    <row r="58">
      <c r="A58" s="14" t="n">
        <v>53</v>
      </c>
      <c r="B58" s="16" t="n"/>
      <c r="C58" s="16" t="n"/>
      <c r="D58" s="16" t="n"/>
    </row>
    <row r="59">
      <c r="A59" s="14" t="n">
        <v>54</v>
      </c>
      <c r="B59" s="16" t="n"/>
      <c r="C59" s="16" t="n"/>
      <c r="D59" s="16" t="n"/>
    </row>
    <row r="60">
      <c r="A60" s="14" t="n">
        <v>55</v>
      </c>
      <c r="B60" s="16" t="n"/>
      <c r="C60" s="16" t="n"/>
      <c r="D60" s="16" t="n"/>
    </row>
    <row r="61">
      <c r="A61" s="14" t="n">
        <v>56</v>
      </c>
      <c r="B61" s="16" t="n"/>
      <c r="C61" s="16" t="n"/>
      <c r="D61" s="16" t="n"/>
    </row>
    <row r="62">
      <c r="A62" s="14" t="n">
        <v>57</v>
      </c>
      <c r="B62" s="16" t="n"/>
      <c r="C62" s="16" t="n"/>
      <c r="D62" s="16" t="n"/>
    </row>
    <row r="63">
      <c r="A63" s="14" t="n">
        <v>58</v>
      </c>
      <c r="B63" s="16" t="n"/>
      <c r="C63" s="16" t="n"/>
      <c r="D63" s="16" t="n"/>
    </row>
    <row r="64">
      <c r="A64" s="14" t="n">
        <v>59</v>
      </c>
      <c r="B64" s="16" t="n"/>
      <c r="C64" s="16" t="n"/>
      <c r="D64" s="16" t="n"/>
    </row>
    <row r="65">
      <c r="A65" s="14" t="n">
        <v>60</v>
      </c>
      <c r="B65" s="16" t="n"/>
      <c r="C65" s="16" t="n"/>
      <c r="D65" s="16" t="n"/>
    </row>
    <row r="67">
      <c r="B67" s="5" t="inlineStr">
        <is>
          <t>REAL DIFFERENCES</t>
        </is>
      </c>
      <c r="C67" s="9">
        <f>COUNTA(B6:B65)</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8"/>
  <sheetViews>
    <sheetView showGridLines="0" workbookViewId="0">
      <selection activeCell="A1" sqref="A1"/>
    </sheetView>
  </sheetViews>
  <sheetFormatPr baseColWidth="8" defaultRowHeight="15"/>
  <cols>
    <col width="38" customWidth="1" min="1" max="1"/>
    <col width="9" customWidth="1" min="2" max="2"/>
    <col width="42" customWidth="1" min="3" max="3"/>
    <col width="20" customWidth="1" min="4" max="4"/>
    <col width="30" customWidth="1" min="5" max="5"/>
    <col width="22" customWidth="1" min="6" max="6"/>
    <col width="14" customWidth="1" min="7" max="7"/>
    <col width="18" customWidth="1" min="8" max="8"/>
    <col width="12" customWidth="1" min="9" max="9"/>
  </cols>
  <sheetData>
    <row r="1">
      <c r="A1" s="1" t="inlineStr">
        <is>
          <t>The register</t>
        </is>
      </c>
    </row>
    <row r="2">
      <c r="A2" s="4" t="inlineStr">
        <is>
          <t>Filled on the day you award. For each claim that decided it, write what you would see if it held, when, and on which record you control. For each claim you can check, write your odds that it holds: start from how often projects like this slip, then list what in the contract would cause it to fail. The odds are yours, never the chat's. It cannot tell you the losing bids were worse: that comparison does not exist. It tells you whether the claims that won the work were true.</t>
        </is>
      </c>
    </row>
    <row r="4">
      <c r="A4" s="5" t="inlineStr">
        <is>
          <t>Award date</t>
        </is>
      </c>
      <c r="B4" s="6" t="inlineStr">
        <is>
          <t>2026-07-01</t>
        </is>
      </c>
    </row>
    <row r="6" ht="30" customHeight="1">
      <c r="A6" s="7" t="inlineStr">
        <is>
          <t>Claim that decided the award</t>
        </is>
      </c>
      <c r="B6" s="7" t="inlineStr">
        <is>
          <t>Clause</t>
        </is>
      </c>
      <c r="C6" s="7" t="inlineStr">
        <is>
          <t>What you would observe if it held</t>
        </is>
      </c>
      <c r="D6" s="7" t="inlineStr">
        <is>
          <t>When</t>
        </is>
      </c>
      <c r="E6" s="7" t="inlineStr">
        <is>
          <t>Record it comes from, one YOU control</t>
        </is>
      </c>
      <c r="F6" s="7" t="inlineStr">
        <is>
          <t>Checkable?</t>
        </is>
      </c>
      <c r="G6" s="7" t="inlineStr">
        <is>
          <t>Your odds it holds, %</t>
        </is>
      </c>
      <c r="H6" s="7" t="inlineStr">
        <is>
          <t>Verdict</t>
        </is>
      </c>
      <c r="I6" s="7" t="inlineStr">
        <is>
          <t>Forecast error</t>
        </is>
      </c>
    </row>
    <row r="7">
      <c r="A7" s="15" t="inlineStr">
        <is>
          <t>(example) Supports 48-hour dispatch workflows</t>
        </is>
      </c>
      <c r="B7" s="15" t="inlineStr">
        <is>
          <t>A2</t>
        </is>
      </c>
      <c r="C7" s="15" t="inlineStr">
        <is>
          <t>Only that dispatch workflows exist. Nothing would show whether they meet the 48-hour commitment.</t>
        </is>
      </c>
      <c r="D7" s="15" t="inlineStr">
        <is>
          <t>None</t>
        </is>
      </c>
      <c r="E7" s="15" t="inlineStr">
        <is>
          <t>None</t>
        </is>
      </c>
      <c r="F7" s="15" t="inlineStr">
        <is>
          <t>NO - nothing would settle it</t>
        </is>
      </c>
      <c r="G7" s="15" t="inlineStr"/>
      <c r="H7" s="15" t="inlineStr">
        <is>
          <t>CANNOT BE CHECKED</t>
        </is>
      </c>
      <c r="I7" s="15" t="inlineStr"/>
    </row>
    <row r="8">
      <c r="A8" s="16" t="n"/>
      <c r="B8" s="16" t="n"/>
      <c r="C8" s="8" t="n"/>
      <c r="D8" s="16" t="n"/>
      <c r="E8" s="16" t="n"/>
      <c r="F8" s="16" t="n"/>
      <c r="G8" s="8" t="n"/>
      <c r="H8" s="16" t="n"/>
      <c r="I8" s="17">
        <f>IF(OR(G8="",H8=""),"",IF(H8="HELD",(G8/100-1)^2,IF(H8="DID NOT HOLD",(G8/100)^2,"")))</f>
        <v/>
      </c>
    </row>
    <row r="9">
      <c r="A9" s="16" t="n"/>
      <c r="B9" s="16" t="n"/>
      <c r="C9" s="8" t="n"/>
      <c r="D9" s="16" t="n"/>
      <c r="E9" s="16" t="n"/>
      <c r="F9" s="16" t="n"/>
      <c r="G9" s="8" t="n"/>
      <c r="H9" s="16" t="n"/>
      <c r="I9" s="17">
        <f>IF(OR(G9="",H9=""),"",IF(H9="HELD",(G9/100-1)^2,IF(H9="DID NOT HOLD",(G9/100)^2,"")))</f>
        <v/>
      </c>
    </row>
    <row r="10">
      <c r="A10" s="16" t="n"/>
      <c r="B10" s="16" t="n"/>
      <c r="C10" s="8" t="n"/>
      <c r="D10" s="16" t="n"/>
      <c r="E10" s="16" t="n"/>
      <c r="F10" s="16" t="n"/>
      <c r="G10" s="8" t="n"/>
      <c r="H10" s="16" t="n"/>
      <c r="I10" s="17">
        <f>IF(OR(G10="",H10=""),"",IF(H10="HELD",(G10/100-1)^2,IF(H10="DID NOT HOLD",(G10/100)^2,"")))</f>
        <v/>
      </c>
    </row>
    <row r="11">
      <c r="A11" s="16" t="n"/>
      <c r="B11" s="16" t="n"/>
      <c r="C11" s="8" t="n"/>
      <c r="D11" s="16" t="n"/>
      <c r="E11" s="16" t="n"/>
      <c r="F11" s="16" t="n"/>
      <c r="G11" s="8" t="n"/>
      <c r="H11" s="16" t="n"/>
      <c r="I11" s="17">
        <f>IF(OR(G11="",H11=""),"",IF(H11="HELD",(G11/100-1)^2,IF(H11="DID NOT HOLD",(G11/100)^2,"")))</f>
        <v/>
      </c>
    </row>
    <row r="12">
      <c r="A12" s="16" t="n"/>
      <c r="B12" s="16" t="n"/>
      <c r="C12" s="8" t="n"/>
      <c r="D12" s="16" t="n"/>
      <c r="E12" s="16" t="n"/>
      <c r="F12" s="16" t="n"/>
      <c r="G12" s="8" t="n"/>
      <c r="H12" s="16" t="n"/>
      <c r="I12" s="17">
        <f>IF(OR(G12="",H12=""),"",IF(H12="HELD",(G12/100-1)^2,IF(H12="DID NOT HOLD",(G12/100)^2,"")))</f>
        <v/>
      </c>
    </row>
    <row r="13">
      <c r="A13" s="16" t="n"/>
      <c r="B13" s="16" t="n"/>
      <c r="C13" s="8" t="n"/>
      <c r="D13" s="16" t="n"/>
      <c r="E13" s="16" t="n"/>
      <c r="F13" s="16" t="n"/>
      <c r="G13" s="8" t="n"/>
      <c r="H13" s="16" t="n"/>
      <c r="I13" s="17">
        <f>IF(OR(G13="",H13=""),"",IF(H13="HELD",(G13/100-1)^2,IF(H13="DID NOT HOLD",(G13/100)^2,"")))</f>
        <v/>
      </c>
    </row>
    <row r="14">
      <c r="A14" s="16" t="n"/>
      <c r="B14" s="16" t="n"/>
      <c r="C14" s="8" t="n"/>
      <c r="D14" s="16" t="n"/>
      <c r="E14" s="16" t="n"/>
      <c r="F14" s="16" t="n"/>
      <c r="G14" s="8" t="n"/>
      <c r="H14" s="16" t="n"/>
      <c r="I14" s="17">
        <f>IF(OR(G14="",H14=""),"",IF(H14="HELD",(G14/100-1)^2,IF(H14="DID NOT HOLD",(G14/100)^2,"")))</f>
        <v/>
      </c>
    </row>
    <row r="15">
      <c r="A15" s="16" t="n"/>
      <c r="B15" s="16" t="n"/>
      <c r="C15" s="8" t="n"/>
      <c r="D15" s="16" t="n"/>
      <c r="E15" s="16" t="n"/>
      <c r="F15" s="16" t="n"/>
      <c r="G15" s="8" t="n"/>
      <c r="H15" s="16" t="n"/>
      <c r="I15" s="17">
        <f>IF(OR(G15="",H15=""),"",IF(H15="HELD",(G15/100-1)^2,IF(H15="DID NOT HOLD",(G15/100)^2,"")))</f>
        <v/>
      </c>
    </row>
    <row r="16">
      <c r="A16" s="16" t="n"/>
      <c r="B16" s="16" t="n"/>
      <c r="C16" s="8" t="n"/>
      <c r="D16" s="16" t="n"/>
      <c r="E16" s="16" t="n"/>
      <c r="F16" s="16" t="n"/>
      <c r="G16" s="8" t="n"/>
      <c r="H16" s="16" t="n"/>
      <c r="I16" s="17">
        <f>IF(OR(G16="",H16=""),"",IF(H16="HELD",(G16/100-1)^2,IF(H16="DID NOT HOLD",(G16/100)^2,"")))</f>
        <v/>
      </c>
    </row>
    <row r="17">
      <c r="A17" s="16" t="n"/>
      <c r="B17" s="16" t="n"/>
      <c r="C17" s="8" t="n"/>
      <c r="D17" s="16" t="n"/>
      <c r="E17" s="16" t="n"/>
      <c r="F17" s="16" t="n"/>
      <c r="G17" s="8" t="n"/>
      <c r="H17" s="16" t="n"/>
      <c r="I17" s="17">
        <f>IF(OR(G17="",H17=""),"",IF(H17="HELD",(G17/100-1)^2,IF(H17="DID NOT HOLD",(G17/100)^2,"")))</f>
        <v/>
      </c>
    </row>
    <row r="18">
      <c r="A18" s="16" t="n"/>
      <c r="B18" s="16" t="n"/>
      <c r="C18" s="8" t="n"/>
      <c r="D18" s="16" t="n"/>
      <c r="E18" s="16" t="n"/>
      <c r="F18" s="16" t="n"/>
      <c r="G18" s="8" t="n"/>
      <c r="H18" s="16" t="n"/>
      <c r="I18" s="17">
        <f>IF(OR(G18="",H18=""),"",IF(H18="HELD",(G18/100-1)^2,IF(H18="DID NOT HOLD",(G18/100)^2,"")))</f>
        <v/>
      </c>
    </row>
    <row r="19">
      <c r="A19" s="16" t="n"/>
      <c r="B19" s="16" t="n"/>
      <c r="C19" s="8" t="n"/>
      <c r="D19" s="16" t="n"/>
      <c r="E19" s="16" t="n"/>
      <c r="F19" s="16" t="n"/>
      <c r="G19" s="8" t="n"/>
      <c r="H19" s="16" t="n"/>
      <c r="I19" s="17">
        <f>IF(OR(G19="",H19=""),"",IF(H19="HELD",(G19/100-1)^2,IF(H19="DID NOT HOLD",(G19/100)^2,"")))</f>
        <v/>
      </c>
    </row>
    <row r="21">
      <c r="A21" s="5" t="inlineStr">
        <is>
          <t>CLAIMS THAT CANNOT BE CHECKED</t>
        </is>
      </c>
      <c r="B21" s="9">
        <f>COUNTIF(F8:F19,"NO*")</f>
        <v/>
      </c>
    </row>
    <row r="22">
      <c r="A22" s="5" t="inlineStr">
        <is>
          <t>AVERAGE FORECAST ERROR (0 is perfect, 1 is as wrong as possible)</t>
        </is>
      </c>
      <c r="B22" s="18">
        <f>IFERROR(AVERAGE(I8:I19),"")</f>
        <v/>
      </c>
    </row>
    <row r="23">
      <c r="A23" s="5" t="inlineStr">
        <is>
          <t>What to ask for next time, generated from every row above that cannot be checked</t>
        </is>
      </c>
    </row>
    <row r="24">
      <c r="A24" s="12" t="n"/>
    </row>
    <row r="25">
      <c r="A25" s="12" t="n"/>
    </row>
    <row r="26">
      <c r="A26" s="12" t="n"/>
    </row>
    <row r="27">
      <c r="A27" s="12" t="n"/>
    </row>
    <row r="28">
      <c r="A28" s="12" t="n"/>
    </row>
  </sheetData>
  <dataValidations count="4">
    <dataValidation sqref="D8 D9 D10 D11 D12 D13 D14 D15 D16 D17 D18 D19" showDropDown="0" showInputMessage="0" showErrorMessage="0" allowBlank="1" type="list">
      <formula1>"Go-live,First service review,Renewal,Other milestone"</formula1>
    </dataValidation>
    <dataValidation sqref="F8 F9 F10 F11 F12 F13 F14 F15 F16 F17 F18 F19" showDropDown="0" showInputMessage="0" showErrorMessage="0" allowBlank="1" type="list">
      <formula1>"Yes,NO - nothing would settle it,NO - supplier reporting only"</formula1>
    </dataValidation>
    <dataValidation sqref="H8 H9 H10 H11 H12 H13 H14 H15 H16 H17 H18 H19" showDropDown="0" showInputMessage="0" showErrorMessage="0" allowBlank="1" type="list">
      <formula1>"HELD,DID NOT HOLD,CANNOT BE CHECKED"</formula1>
    </dataValidation>
    <dataValidation sqref="G8 G9 G10 G11 G12 G13 G14 G15 G16 G17 G18 G19" showDropDown="0" showInputMessage="0" showErrorMessage="0" allowBlank="1" type="whole" operator="between">
      <formula1>0</formula1>
      <formula2>100</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44" customWidth="1" min="1" max="1"/>
    <col width="18" customWidth="1" min="2" max="2"/>
    <col width="46" customWidth="1" min="3" max="3"/>
  </cols>
  <sheetData>
    <row r="1">
      <c r="A1" s="1" t="inlineStr">
        <is>
          <t>The award note</t>
        </is>
      </c>
    </row>
    <row r="2">
      <c r="A2" s="4" t="inlineStr">
        <is>
          <t>Four counts for the top of the note, then what must be written into the contract. The counts describe the documents and the claims; they rank nobody.</t>
        </is>
      </c>
    </row>
    <row r="4">
      <c r="A4" s="5" t="inlineStr">
        <is>
          <t>Reliefs not covered</t>
        </is>
      </c>
      <c r="B4" s="19">
        <f>'3 Relief list'!C27</f>
        <v/>
      </c>
    </row>
    <row r="5">
      <c r="A5" s="5" t="inlineStr">
        <is>
          <t>Silences</t>
        </is>
      </c>
      <c r="B5" s="19">
        <f>'5 Counts'!F9</f>
        <v/>
      </c>
    </row>
    <row r="6">
      <c r="A6" s="5" t="inlineStr">
        <is>
          <t>Real differences</t>
        </is>
      </c>
      <c r="B6" s="19">
        <f>'6 Differences'!C67</f>
        <v/>
      </c>
    </row>
    <row r="7">
      <c r="A7" s="5" t="inlineStr">
        <is>
          <t>Claims that cannot be checked</t>
        </is>
      </c>
      <c r="B7" s="19">
        <f>'7 Register'!B21</f>
        <v/>
      </c>
    </row>
    <row r="9">
      <c r="A9" s="5" t="inlineStr">
        <is>
          <t>Copy this line into the award note</t>
        </is>
      </c>
    </row>
    <row r="10">
      <c r="A10" s="14">
        <f>_xlfn.CONCAT("Reliefs not covered: ",B4," · Silences: ",B5," · Real differences: ",B6," · Claims that cannot be checked: ",B7)</f>
        <v/>
      </c>
    </row>
    <row r="12">
      <c r="A12" s="5" t="inlineStr">
        <is>
          <t>Checklist coverage</t>
        </is>
      </c>
    </row>
    <row r="13">
      <c r="A13" s="14">
        <f>'2 Checklist'!A16</f>
        <v/>
      </c>
    </row>
    <row r="15" ht="30" customHeight="1">
      <c r="A15" s="20" t="inlineStr">
        <is>
          <t>What must be written into the contract. Name where each obligation that decided the award must appear. Do not state that anything is enforceable: that is for the people who draft and sign the agreement.</t>
        </is>
      </c>
    </row>
    <row r="16" ht="30" customHeight="1">
      <c r="A16" s="7" t="inlineStr">
        <is>
          <t>Obligation that decided the award</t>
        </is>
      </c>
      <c r="B16" s="7" t="inlineStr">
        <is>
          <t>Clause</t>
        </is>
      </c>
      <c r="C16" s="7" t="inlineStr">
        <is>
          <t>Where it must appear in the signed agreement</t>
        </is>
      </c>
    </row>
    <row r="17">
      <c r="A17" s="15" t="inlineStr">
        <is>
          <t>(example) Elapsed dispatch time reported per order line, from each site go-live</t>
        </is>
      </c>
      <c r="B17" s="15" t="inlineStr">
        <is>
          <t>B2, B3</t>
        </is>
      </c>
      <c r="C17" s="15" t="inlineStr">
        <is>
          <t>(example) Service description, reporting schedule</t>
        </is>
      </c>
    </row>
    <row r="18">
      <c r="A18" s="16" t="n"/>
      <c r="B18" s="16" t="n"/>
      <c r="C18" s="16" t="n"/>
    </row>
    <row r="19">
      <c r="A19" s="16" t="n"/>
      <c r="B19" s="16" t="n"/>
      <c r="C19" s="16" t="n"/>
    </row>
    <row r="20">
      <c r="A20" s="16" t="n"/>
      <c r="B20" s="16" t="n"/>
      <c r="C20" s="16" t="n"/>
    </row>
    <row r="21">
      <c r="A21" s="16" t="n"/>
      <c r="B21" s="16" t="n"/>
      <c r="C21" s="16" t="n"/>
    </row>
    <row r="22">
      <c r="A22" s="16" t="n"/>
      <c r="B22" s="16" t="n"/>
      <c r="C22" s="16" t="n"/>
    </row>
    <row r="23">
      <c r="A23" s="16" t="n"/>
      <c r="B23" s="16" t="n"/>
      <c r="C23" s="16" t="n"/>
    </row>
    <row r="24">
      <c r="A24" s="16" t="n"/>
      <c r="B24" s="16" t="n"/>
      <c r="C24" s="16" t="n"/>
    </row>
    <row r="25">
      <c r="A25" s="16" t="n"/>
      <c r="B25" s="16" t="n"/>
      <c r="C25" s="16" t="n"/>
    </row>
    <row r="26">
      <c r="A26" s="16" t="n"/>
      <c r="B26" s="16" t="n"/>
      <c r="C26" s="16" t="n"/>
    </row>
    <row r="27">
      <c r="A27" s="16" t="n"/>
      <c r="B27" s="16" t="n"/>
      <c r="C27" s="16" t="n"/>
    </row>
    <row r="28">
      <c r="A28" s="16" t="n"/>
      <c r="B28" s="16" t="n"/>
      <c r="C28" s="16" t="n"/>
    </row>
    <row r="29">
      <c r="A29" s="16" t="n"/>
      <c r="B29" s="16" t="n"/>
      <c r="C29" s="16" t="n"/>
    </row>
  </sheetData>
  <mergeCells count="1">
    <mergeCell ref="A15:C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8"/>
  <sheetViews>
    <sheetView showGridLines="0" workbookViewId="0">
      <selection activeCell="A1" sqref="A1"/>
    </sheetView>
  </sheetViews>
  <sheetFormatPr baseColWidth="8" defaultRowHeight="15"/>
  <cols>
    <col width="44" customWidth="1" min="1" max="1"/>
    <col width="10" customWidth="1" min="2" max="2"/>
    <col width="54" customWidth="1" min="3" max="3"/>
    <col width="22" customWidth="1" min="4" max="4"/>
    <col width="18" customWidth="1" min="5" max="5"/>
  </cols>
  <sheetData>
    <row r="1">
      <c r="A1" s="1" t="inlineStr">
        <is>
          <t>Checking the AI review</t>
        </is>
      </c>
    </row>
    <row r="2">
      <c r="A2" s="4" t="inlineStr">
        <is>
          <t>Run /vendor-review (or any AI summary) first. Then check every statement your decision will rest on against the bid's own words. The recommendation is recorded as made; it is not evidence.</t>
        </is>
      </c>
    </row>
    <row r="4" ht="30" customHeight="1">
      <c r="A4" s="7" t="inlineStr">
        <is>
          <t>What the review says</t>
        </is>
      </c>
      <c r="B4" s="7" t="inlineStr">
        <is>
          <t>Clause</t>
        </is>
      </c>
      <c r="C4" s="7" t="inlineStr">
        <is>
          <t>What the bid says, word for word</t>
        </is>
      </c>
      <c r="D4" s="7" t="inlineStr">
        <is>
          <t>Verdict</t>
        </is>
      </c>
      <c r="E4" s="7" t="inlineStr">
        <is>
          <t>Checked by, date</t>
        </is>
      </c>
    </row>
    <row r="5">
      <c r="A5" s="15" t="inlineStr">
        <is>
          <t>(example) Lead and two seniors named in contract and locked</t>
        </is>
      </c>
      <c r="B5" s="15" t="inlineStr">
        <is>
          <t>B25</t>
        </is>
      </c>
      <c r="C5" s="15" t="inlineStr">
        <is>
          <t>(example) will not replace them without Northvale's written agreement except on termination of employment</t>
        </is>
      </c>
      <c r="D5" s="15" t="inlineStr">
        <is>
          <t>DROPS A CONDITION</t>
        </is>
      </c>
      <c r="E5" s="15" t="inlineStr"/>
    </row>
    <row r="6">
      <c r="A6" s="15" t="inlineStr">
        <is>
          <t>(example) Negotiate (preferred)</t>
        </is>
      </c>
      <c r="B6" s="15" t="inlineStr"/>
      <c r="C6" s="15" t="inlineStr"/>
      <c r="D6" s="15" t="inlineStr">
        <is>
          <t>RECOMMENDATION</t>
        </is>
      </c>
      <c r="E6" s="15" t="inlineStr"/>
    </row>
    <row r="7">
      <c r="A7" s="16" t="n"/>
      <c r="B7" s="16" t="n"/>
      <c r="C7" s="16" t="n"/>
      <c r="D7" s="16" t="n"/>
      <c r="E7" s="16" t="n"/>
    </row>
    <row r="8">
      <c r="A8" s="16" t="n"/>
      <c r="B8" s="16" t="n"/>
      <c r="C8" s="16" t="n"/>
      <c r="D8" s="16" t="n"/>
      <c r="E8" s="16" t="n"/>
    </row>
    <row r="9">
      <c r="A9" s="16" t="n"/>
      <c r="B9" s="16" t="n"/>
      <c r="C9" s="16" t="n"/>
      <c r="D9" s="16" t="n"/>
      <c r="E9" s="16" t="n"/>
    </row>
    <row r="10">
      <c r="A10" s="16" t="n"/>
      <c r="B10" s="16" t="n"/>
      <c r="C10" s="16" t="n"/>
      <c r="D10" s="16" t="n"/>
      <c r="E10" s="16" t="n"/>
    </row>
    <row r="11">
      <c r="A11" s="16" t="n"/>
      <c r="B11" s="16" t="n"/>
      <c r="C11" s="16" t="n"/>
      <c r="D11" s="16" t="n"/>
      <c r="E11" s="16" t="n"/>
    </row>
    <row r="12">
      <c r="A12" s="16" t="n"/>
      <c r="B12" s="16" t="n"/>
      <c r="C12" s="16" t="n"/>
      <c r="D12" s="16" t="n"/>
      <c r="E12" s="16" t="n"/>
    </row>
    <row r="13">
      <c r="A13" s="16" t="n"/>
      <c r="B13" s="16" t="n"/>
      <c r="C13" s="16" t="n"/>
      <c r="D13" s="16" t="n"/>
      <c r="E13" s="16" t="n"/>
    </row>
    <row r="14">
      <c r="A14" s="16" t="n"/>
      <c r="B14" s="16" t="n"/>
      <c r="C14" s="16" t="n"/>
      <c r="D14" s="16" t="n"/>
      <c r="E14" s="16" t="n"/>
    </row>
    <row r="15">
      <c r="A15" s="16" t="n"/>
      <c r="B15" s="16" t="n"/>
      <c r="C15" s="16" t="n"/>
      <c r="D15" s="16" t="n"/>
      <c r="E15" s="16" t="n"/>
    </row>
    <row r="16">
      <c r="A16" s="16" t="n"/>
      <c r="B16" s="16" t="n"/>
      <c r="C16" s="16" t="n"/>
      <c r="D16" s="16" t="n"/>
      <c r="E16" s="16" t="n"/>
    </row>
    <row r="17">
      <c r="A17" s="16" t="n"/>
      <c r="B17" s="16" t="n"/>
      <c r="C17" s="16" t="n"/>
      <c r="D17" s="16" t="n"/>
      <c r="E17" s="16" t="n"/>
    </row>
    <row r="18">
      <c r="A18" s="16" t="n"/>
      <c r="B18" s="16" t="n"/>
      <c r="C18" s="16" t="n"/>
      <c r="D18" s="16" t="n"/>
      <c r="E18" s="16" t="n"/>
    </row>
    <row r="19">
      <c r="A19" s="16" t="n"/>
      <c r="B19" s="16" t="n"/>
      <c r="C19" s="16" t="n"/>
      <c r="D19" s="16" t="n"/>
      <c r="E19" s="16" t="n"/>
    </row>
    <row r="20">
      <c r="A20" s="16" t="n"/>
      <c r="B20" s="16" t="n"/>
      <c r="C20" s="16" t="n"/>
      <c r="D20" s="16" t="n"/>
      <c r="E20" s="16" t="n"/>
    </row>
    <row r="21">
      <c r="A21" s="16" t="n"/>
      <c r="B21" s="16" t="n"/>
      <c r="C21" s="16" t="n"/>
      <c r="D21" s="16" t="n"/>
      <c r="E21" s="16" t="n"/>
    </row>
    <row r="22">
      <c r="A22" s="16" t="n"/>
      <c r="B22" s="16" t="n"/>
      <c r="C22" s="16" t="n"/>
      <c r="D22" s="16" t="n"/>
      <c r="E22" s="16" t="n"/>
    </row>
    <row r="23">
      <c r="A23" s="16" t="n"/>
      <c r="B23" s="16" t="n"/>
      <c r="C23" s="16" t="n"/>
      <c r="D23" s="16" t="n"/>
      <c r="E23" s="16" t="n"/>
    </row>
    <row r="24">
      <c r="A24" s="16" t="n"/>
      <c r="B24" s="16" t="n"/>
      <c r="C24" s="16" t="n"/>
      <c r="D24" s="16" t="n"/>
      <c r="E24" s="16" t="n"/>
    </row>
    <row r="25">
      <c r="A25" s="16" t="n"/>
      <c r="B25" s="16" t="n"/>
      <c r="C25" s="16" t="n"/>
      <c r="D25" s="16" t="n"/>
      <c r="E25" s="16" t="n"/>
    </row>
    <row r="26">
      <c r="A26" s="16" t="n"/>
      <c r="B26" s="16" t="n"/>
      <c r="C26" s="16" t="n"/>
      <c r="D26" s="16" t="n"/>
      <c r="E26" s="16" t="n"/>
    </row>
    <row r="27">
      <c r="A27" s="16" t="n"/>
      <c r="B27" s="16" t="n"/>
      <c r="C27" s="16" t="n"/>
      <c r="D27" s="16" t="n"/>
      <c r="E27" s="16" t="n"/>
    </row>
    <row r="28">
      <c r="A28" s="16" t="n"/>
      <c r="B28" s="16" t="n"/>
      <c r="C28" s="16" t="n"/>
      <c r="D28" s="16" t="n"/>
      <c r="E28" s="16" t="n"/>
    </row>
    <row r="29">
      <c r="A29" s="16" t="n"/>
      <c r="B29" s="16" t="n"/>
      <c r="C29" s="16" t="n"/>
      <c r="D29" s="16" t="n"/>
      <c r="E29" s="16" t="n"/>
    </row>
    <row r="30">
      <c r="A30" s="16" t="n"/>
      <c r="B30" s="16" t="n"/>
      <c r="C30" s="16" t="n"/>
      <c r="D30" s="16" t="n"/>
      <c r="E30" s="16" t="n"/>
    </row>
    <row r="31">
      <c r="A31" s="16" t="n"/>
      <c r="B31" s="16" t="n"/>
      <c r="C31" s="16" t="n"/>
      <c r="D31" s="16" t="n"/>
      <c r="E31" s="16" t="n"/>
    </row>
    <row r="32">
      <c r="A32" s="16" t="n"/>
      <c r="B32" s="16" t="n"/>
      <c r="C32" s="16" t="n"/>
      <c r="D32" s="16" t="n"/>
      <c r="E32" s="16" t="n"/>
    </row>
    <row r="33">
      <c r="A33" s="16" t="n"/>
      <c r="B33" s="16" t="n"/>
      <c r="C33" s="16" t="n"/>
      <c r="D33" s="16" t="n"/>
      <c r="E33" s="16" t="n"/>
    </row>
    <row r="34">
      <c r="A34" s="16" t="n"/>
      <c r="B34" s="16" t="n"/>
      <c r="C34" s="16" t="n"/>
      <c r="D34" s="16" t="n"/>
      <c r="E34" s="16" t="n"/>
    </row>
    <row r="35">
      <c r="A35" s="16" t="n"/>
      <c r="B35" s="16" t="n"/>
      <c r="C35" s="16" t="n"/>
      <c r="D35" s="16" t="n"/>
      <c r="E35" s="16" t="n"/>
    </row>
    <row r="36">
      <c r="A36" s="16" t="n"/>
      <c r="B36" s="16" t="n"/>
      <c r="C36" s="16" t="n"/>
      <c r="D36" s="16" t="n"/>
      <c r="E36" s="16" t="n"/>
    </row>
    <row r="37">
      <c r="A37" s="16" t="n"/>
      <c r="B37" s="16" t="n"/>
      <c r="C37" s="16" t="n"/>
      <c r="D37" s="16" t="n"/>
      <c r="E37" s="16" t="n"/>
    </row>
    <row r="38">
      <c r="A38" s="16" t="n"/>
      <c r="B38" s="16" t="n"/>
      <c r="C38" s="16" t="n"/>
      <c r="D38" s="16" t="n"/>
      <c r="E38" s="16" t="n"/>
    </row>
    <row r="39">
      <c r="A39" s="16" t="n"/>
      <c r="B39" s="16" t="n"/>
      <c r="C39" s="16" t="n"/>
      <c r="D39" s="16" t="n"/>
      <c r="E39" s="16" t="n"/>
    </row>
    <row r="40">
      <c r="A40" s="16" t="n"/>
      <c r="B40" s="16" t="n"/>
      <c r="C40" s="16" t="n"/>
      <c r="D40" s="16" t="n"/>
      <c r="E40" s="16" t="n"/>
    </row>
    <row r="41">
      <c r="A41" s="16" t="n"/>
      <c r="B41" s="16" t="n"/>
      <c r="C41" s="16" t="n"/>
      <c r="D41" s="16" t="n"/>
      <c r="E41" s="16" t="n"/>
    </row>
    <row r="42">
      <c r="A42" s="16" t="n"/>
      <c r="B42" s="16" t="n"/>
      <c r="C42" s="16" t="n"/>
      <c r="D42" s="16" t="n"/>
      <c r="E42" s="16" t="n"/>
    </row>
    <row r="43">
      <c r="A43" s="16" t="n"/>
      <c r="B43" s="16" t="n"/>
      <c r="C43" s="16" t="n"/>
      <c r="D43" s="16" t="n"/>
      <c r="E43" s="16" t="n"/>
    </row>
    <row r="44">
      <c r="A44" s="16" t="n"/>
      <c r="B44" s="16" t="n"/>
      <c r="C44" s="16" t="n"/>
      <c r="D44" s="16" t="n"/>
      <c r="E44" s="16" t="n"/>
    </row>
    <row r="45">
      <c r="A45" s="16" t="n"/>
      <c r="B45" s="16" t="n"/>
      <c r="C45" s="16" t="n"/>
      <c r="D45" s="16" t="n"/>
      <c r="E45" s="16" t="n"/>
    </row>
    <row r="46">
      <c r="A46" s="16" t="n"/>
      <c r="B46" s="16" t="n"/>
      <c r="C46" s="16" t="n"/>
      <c r="D46" s="16" t="n"/>
      <c r="E46" s="16" t="n"/>
    </row>
    <row r="48">
      <c r="A48" s="5" t="inlineStr">
        <is>
          <t>DROPS A CONDITION or OVERSTATES</t>
        </is>
      </c>
      <c r="B48" s="9">
        <f>COUNTIF(D7:D46,"DROPS A CONDITION")+COUNTIF(D7:D46,"OVERSTATES")</f>
        <v/>
      </c>
    </row>
  </sheetData>
  <dataValidations count="1">
    <dataValidation sqref="D7 D8 D9 D10 D11 D12 D13 D14 D15 D16 D17 D18 D19 D20 D21 D22 D23 D24 D25 D26 D27 D28 D29 D30 D31 D32 D33 D34 D35 D36 D37 D38 D39 D40 D41 D42 D43 D44 D45 D46" showDropDown="0" showInputMessage="0" showErrorMessage="0" allowBlank="1" type="list">
      <formula1>"MATCHES,DROPS A CONDITION,OVERSTATES,NOT FOUND,OUTSIDE A READ,RECOMMENDATION"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7"/>
  <sheetViews>
    <sheetView showGridLines="0" workbookViewId="0">
      <selection activeCell="A1" sqref="A1"/>
    </sheetView>
  </sheetViews>
  <sheetFormatPr baseColWidth="8" defaultRowHeight="15"/>
  <cols>
    <col width="16" customWidth="1" min="1" max="1"/>
    <col width="10" customWidth="1" min="2" max="2"/>
    <col width="44" customWidth="1" min="3" max="3"/>
    <col width="50" customWidth="1" min="4" max="4"/>
    <col width="36" customWidth="1" min="5" max="5"/>
    <col width="16" customWidth="1" min="6" max="6"/>
  </cols>
  <sheetData>
    <row r="1">
      <c r="A1" s="1" t="inlineStr">
        <is>
          <t>The clarification letters</t>
        </is>
      </c>
    </row>
    <row r="2">
      <c r="A2" s="4" t="inlineStr">
        <is>
          <t>Every silence in a response becomes one question, citing the sentence it answers and asking for a commitment in writing: what, by when, measured how. Where no answer could settle it, give the reason instead.</t>
        </is>
      </c>
    </row>
    <row r="4" ht="30" customHeight="1">
      <c r="A4" s="7" t="inlineStr">
        <is>
          <t>Supplier</t>
        </is>
      </c>
      <c r="B4" s="7" t="inlineStr">
        <is>
          <t>Clause</t>
        </is>
      </c>
      <c r="C4" s="7" t="inlineStr">
        <is>
          <t>What they wrote, word for word</t>
        </is>
      </c>
      <c r="D4" s="7" t="inlineStr">
        <is>
          <t>Question, or the reason for none</t>
        </is>
      </c>
      <c r="E4" s="7" t="inlineStr">
        <is>
          <t>Answer received</t>
        </is>
      </c>
      <c r="F4" s="7" t="inlineStr">
        <is>
          <t>Closed?</t>
        </is>
      </c>
    </row>
    <row r="5">
      <c r="A5" s="15" t="inlineStr">
        <is>
          <t>(example) A Meridian</t>
        </is>
      </c>
      <c r="B5" s="15" t="inlineStr">
        <is>
          <t>A16</t>
        </is>
      </c>
      <c r="C5" s="15" t="inlineStr">
        <is>
          <t>Performance measurement against dispatch commitments is fully supported</t>
        </is>
      </c>
      <c r="D5" s="15" t="inlineStr">
        <is>
          <t>Is dispatch performance measurement a standard report at go-live, or something built with the report builder, and is it in the price?</t>
        </is>
      </c>
      <c r="E5" s="15" t="inlineStr"/>
      <c r="F5" s="15" t="inlineStr"/>
    </row>
    <row r="6">
      <c r="A6" s="16" t="n"/>
      <c r="B6" s="16" t="n"/>
      <c r="C6" s="16" t="n"/>
      <c r="D6" s="16" t="n"/>
      <c r="E6" s="16" t="n"/>
      <c r="F6" s="16" t="n"/>
    </row>
    <row r="7">
      <c r="A7" s="16" t="n"/>
      <c r="B7" s="16" t="n"/>
      <c r="C7" s="16" t="n"/>
      <c r="D7" s="16" t="n"/>
      <c r="E7" s="16" t="n"/>
      <c r="F7" s="16" t="n"/>
    </row>
    <row r="8">
      <c r="A8" s="16" t="n"/>
      <c r="B8" s="16" t="n"/>
      <c r="C8" s="16" t="n"/>
      <c r="D8" s="16" t="n"/>
      <c r="E8" s="16" t="n"/>
      <c r="F8" s="16" t="n"/>
    </row>
    <row r="9">
      <c r="A9" s="16" t="n"/>
      <c r="B9" s="16" t="n"/>
      <c r="C9" s="16" t="n"/>
      <c r="D9" s="16" t="n"/>
      <c r="E9" s="16" t="n"/>
      <c r="F9" s="16" t="n"/>
    </row>
    <row r="10">
      <c r="A10" s="16" t="n"/>
      <c r="B10" s="16" t="n"/>
      <c r="C10" s="16" t="n"/>
      <c r="D10" s="16" t="n"/>
      <c r="E10" s="16" t="n"/>
      <c r="F10" s="16" t="n"/>
    </row>
    <row r="11">
      <c r="A11" s="16" t="n"/>
      <c r="B11" s="16" t="n"/>
      <c r="C11" s="16" t="n"/>
      <c r="D11" s="16" t="n"/>
      <c r="E11" s="16" t="n"/>
      <c r="F11" s="16" t="n"/>
    </row>
    <row r="12">
      <c r="A12" s="16" t="n"/>
      <c r="B12" s="16" t="n"/>
      <c r="C12" s="16" t="n"/>
      <c r="D12" s="16" t="n"/>
      <c r="E12" s="16" t="n"/>
      <c r="F12" s="16" t="n"/>
    </row>
    <row r="13">
      <c r="A13" s="16" t="n"/>
      <c r="B13" s="16" t="n"/>
      <c r="C13" s="16" t="n"/>
      <c r="D13" s="16" t="n"/>
      <c r="E13" s="16" t="n"/>
      <c r="F13" s="16" t="n"/>
    </row>
    <row r="14">
      <c r="A14" s="16" t="n"/>
      <c r="B14" s="16" t="n"/>
      <c r="C14" s="16" t="n"/>
      <c r="D14" s="16" t="n"/>
      <c r="E14" s="16" t="n"/>
      <c r="F14" s="16" t="n"/>
    </row>
    <row r="15">
      <c r="A15" s="16" t="n"/>
      <c r="B15" s="16" t="n"/>
      <c r="C15" s="16" t="n"/>
      <c r="D15" s="16" t="n"/>
      <c r="E15" s="16" t="n"/>
      <c r="F15" s="16" t="n"/>
    </row>
    <row r="16">
      <c r="A16" s="16" t="n"/>
      <c r="B16" s="16" t="n"/>
      <c r="C16" s="16" t="n"/>
      <c r="D16" s="16" t="n"/>
      <c r="E16" s="16" t="n"/>
      <c r="F16" s="16" t="n"/>
    </row>
    <row r="17">
      <c r="A17" s="16" t="n"/>
      <c r="B17" s="16" t="n"/>
      <c r="C17" s="16" t="n"/>
      <c r="D17" s="16" t="n"/>
      <c r="E17" s="16" t="n"/>
      <c r="F17" s="16" t="n"/>
    </row>
    <row r="18">
      <c r="A18" s="16" t="n"/>
      <c r="B18" s="16" t="n"/>
      <c r="C18" s="16" t="n"/>
      <c r="D18" s="16" t="n"/>
      <c r="E18" s="16" t="n"/>
      <c r="F18" s="16" t="n"/>
    </row>
    <row r="19">
      <c r="A19" s="16" t="n"/>
      <c r="B19" s="16" t="n"/>
      <c r="C19" s="16" t="n"/>
      <c r="D19" s="16" t="n"/>
      <c r="E19" s="16" t="n"/>
      <c r="F19" s="16" t="n"/>
    </row>
    <row r="20">
      <c r="A20" s="16" t="n"/>
      <c r="B20" s="16" t="n"/>
      <c r="C20" s="16" t="n"/>
      <c r="D20" s="16" t="n"/>
      <c r="E20" s="16" t="n"/>
      <c r="F20" s="16" t="n"/>
    </row>
    <row r="21">
      <c r="A21" s="16" t="n"/>
      <c r="B21" s="16" t="n"/>
      <c r="C21" s="16" t="n"/>
      <c r="D21" s="16" t="n"/>
      <c r="E21" s="16" t="n"/>
      <c r="F21" s="16" t="n"/>
    </row>
    <row r="22">
      <c r="A22" s="16" t="n"/>
      <c r="B22" s="16" t="n"/>
      <c r="C22" s="16" t="n"/>
      <c r="D22" s="16" t="n"/>
      <c r="E22" s="16" t="n"/>
      <c r="F22" s="16" t="n"/>
    </row>
    <row r="23">
      <c r="A23" s="16" t="n"/>
      <c r="B23" s="16" t="n"/>
      <c r="C23" s="16" t="n"/>
      <c r="D23" s="16" t="n"/>
      <c r="E23" s="16" t="n"/>
      <c r="F23" s="16" t="n"/>
    </row>
    <row r="24">
      <c r="A24" s="16" t="n"/>
      <c r="B24" s="16" t="n"/>
      <c r="C24" s="16" t="n"/>
      <c r="D24" s="16" t="n"/>
      <c r="E24" s="16" t="n"/>
      <c r="F24" s="16" t="n"/>
    </row>
    <row r="25">
      <c r="A25" s="16" t="n"/>
      <c r="B25" s="16" t="n"/>
      <c r="C25" s="16" t="n"/>
      <c r="D25" s="16" t="n"/>
      <c r="E25" s="16" t="n"/>
      <c r="F25" s="16" t="n"/>
    </row>
    <row r="26">
      <c r="A26" s="16" t="n"/>
      <c r="B26" s="16" t="n"/>
      <c r="C26" s="16" t="n"/>
      <c r="D26" s="16" t="n"/>
      <c r="E26" s="16" t="n"/>
      <c r="F26" s="16" t="n"/>
    </row>
    <row r="27">
      <c r="A27" s="16" t="n"/>
      <c r="B27" s="16" t="n"/>
      <c r="C27" s="16" t="n"/>
      <c r="D27" s="16" t="n"/>
      <c r="E27" s="16" t="n"/>
      <c r="F27" s="16" t="n"/>
    </row>
    <row r="28">
      <c r="A28" s="16" t="n"/>
      <c r="B28" s="16" t="n"/>
      <c r="C28" s="16" t="n"/>
      <c r="D28" s="16" t="n"/>
      <c r="E28" s="16" t="n"/>
      <c r="F28" s="16" t="n"/>
    </row>
    <row r="29">
      <c r="A29" s="16" t="n"/>
      <c r="B29" s="16" t="n"/>
      <c r="C29" s="16" t="n"/>
      <c r="D29" s="16" t="n"/>
      <c r="E29" s="16" t="n"/>
      <c r="F29" s="16" t="n"/>
    </row>
    <row r="30">
      <c r="A30" s="16" t="n"/>
      <c r="B30" s="16" t="n"/>
      <c r="C30" s="16" t="n"/>
      <c r="D30" s="16" t="n"/>
      <c r="E30" s="16" t="n"/>
      <c r="F30" s="16" t="n"/>
    </row>
    <row r="31">
      <c r="A31" s="16" t="n"/>
      <c r="B31" s="16" t="n"/>
      <c r="C31" s="16" t="n"/>
      <c r="D31" s="16" t="n"/>
      <c r="E31" s="16" t="n"/>
      <c r="F31" s="16" t="n"/>
    </row>
    <row r="32">
      <c r="A32" s="16" t="n"/>
      <c r="B32" s="16" t="n"/>
      <c r="C32" s="16" t="n"/>
      <c r="D32" s="16" t="n"/>
      <c r="E32" s="16" t="n"/>
      <c r="F32" s="16" t="n"/>
    </row>
    <row r="33">
      <c r="A33" s="16" t="n"/>
      <c r="B33" s="16" t="n"/>
      <c r="C33" s="16" t="n"/>
      <c r="D33" s="16" t="n"/>
      <c r="E33" s="16" t="n"/>
      <c r="F33" s="16" t="n"/>
    </row>
    <row r="34">
      <c r="A34" s="16" t="n"/>
      <c r="B34" s="16" t="n"/>
      <c r="C34" s="16" t="n"/>
      <c r="D34" s="16" t="n"/>
      <c r="E34" s="16" t="n"/>
      <c r="F34" s="16" t="n"/>
    </row>
    <row r="35">
      <c r="A35" s="16" t="n"/>
      <c r="B35" s="16" t="n"/>
      <c r="C35" s="16" t="n"/>
      <c r="D35" s="16" t="n"/>
      <c r="E35" s="16" t="n"/>
      <c r="F35" s="16" t="n"/>
    </row>
    <row r="36">
      <c r="A36" s="16" t="n"/>
      <c r="B36" s="16" t="n"/>
      <c r="C36" s="16" t="n"/>
      <c r="D36" s="16" t="n"/>
      <c r="E36" s="16" t="n"/>
      <c r="F36" s="16" t="n"/>
    </row>
    <row r="37">
      <c r="A37" s="16" t="n"/>
      <c r="B37" s="16" t="n"/>
      <c r="C37" s="16" t="n"/>
      <c r="D37" s="16" t="n"/>
      <c r="E37" s="16" t="n"/>
      <c r="F37" s="16" t="n"/>
    </row>
    <row r="38">
      <c r="A38" s="16" t="n"/>
      <c r="B38" s="16" t="n"/>
      <c r="C38" s="16" t="n"/>
      <c r="D38" s="16" t="n"/>
      <c r="E38" s="16" t="n"/>
      <c r="F38" s="16" t="n"/>
    </row>
    <row r="39">
      <c r="A39" s="16" t="n"/>
      <c r="B39" s="16" t="n"/>
      <c r="C39" s="16" t="n"/>
      <c r="D39" s="16" t="n"/>
      <c r="E39" s="16" t="n"/>
      <c r="F39" s="16" t="n"/>
    </row>
    <row r="40">
      <c r="A40" s="16" t="n"/>
      <c r="B40" s="16" t="n"/>
      <c r="C40" s="16" t="n"/>
      <c r="D40" s="16" t="n"/>
      <c r="E40" s="16" t="n"/>
      <c r="F40" s="16" t="n"/>
    </row>
    <row r="41">
      <c r="A41" s="16" t="n"/>
      <c r="B41" s="16" t="n"/>
      <c r="C41" s="16" t="n"/>
      <c r="D41" s="16" t="n"/>
      <c r="E41" s="16" t="n"/>
      <c r="F41" s="16" t="n"/>
    </row>
    <row r="42">
      <c r="A42" s="16" t="n"/>
      <c r="B42" s="16" t="n"/>
      <c r="C42" s="16" t="n"/>
      <c r="D42" s="16" t="n"/>
      <c r="E42" s="16" t="n"/>
      <c r="F42" s="16" t="n"/>
    </row>
    <row r="43">
      <c r="A43" s="16" t="n"/>
      <c r="B43" s="16" t="n"/>
      <c r="C43" s="16" t="n"/>
      <c r="D43" s="16" t="n"/>
      <c r="E43" s="16" t="n"/>
      <c r="F43" s="16" t="n"/>
    </row>
    <row r="44">
      <c r="A44" s="16" t="n"/>
      <c r="B44" s="16" t="n"/>
      <c r="C44" s="16" t="n"/>
      <c r="D44" s="16" t="n"/>
      <c r="E44" s="16" t="n"/>
      <c r="F44" s="16" t="n"/>
    </row>
    <row r="45">
      <c r="A45" s="16" t="n"/>
      <c r="B45" s="16" t="n"/>
      <c r="C45" s="16" t="n"/>
      <c r="D45" s="16" t="n"/>
      <c r="E45" s="16" t="n"/>
      <c r="F45" s="16" t="n"/>
    </row>
    <row r="46">
      <c r="A46" s="16" t="n"/>
      <c r="B46" s="16" t="n"/>
      <c r="C46" s="16" t="n"/>
      <c r="D46" s="16" t="n"/>
      <c r="E46" s="16" t="n"/>
      <c r="F46" s="16" t="n"/>
    </row>
    <row r="47">
      <c r="A47" s="16" t="n"/>
      <c r="B47" s="16" t="n"/>
      <c r="C47" s="16" t="n"/>
      <c r="D47" s="16" t="n"/>
      <c r="E47" s="16" t="n"/>
      <c r="F47" s="16" t="n"/>
    </row>
    <row r="48">
      <c r="A48" s="16" t="n"/>
      <c r="B48" s="16" t="n"/>
      <c r="C48" s="16" t="n"/>
      <c r="D48" s="16" t="n"/>
      <c r="E48" s="16" t="n"/>
      <c r="F48" s="16" t="n"/>
    </row>
    <row r="49">
      <c r="A49" s="16" t="n"/>
      <c r="B49" s="16" t="n"/>
      <c r="C49" s="16" t="n"/>
      <c r="D49" s="16" t="n"/>
      <c r="E49" s="16" t="n"/>
      <c r="F49" s="16" t="n"/>
    </row>
    <row r="50">
      <c r="A50" s="16" t="n"/>
      <c r="B50" s="16" t="n"/>
      <c r="C50" s="16" t="n"/>
      <c r="D50" s="16" t="n"/>
      <c r="E50" s="16" t="n"/>
      <c r="F50" s="16" t="n"/>
    </row>
    <row r="51">
      <c r="A51" s="16" t="n"/>
      <c r="B51" s="16" t="n"/>
      <c r="C51" s="16" t="n"/>
      <c r="D51" s="16" t="n"/>
      <c r="E51" s="16" t="n"/>
      <c r="F51" s="16" t="n"/>
    </row>
    <row r="52">
      <c r="A52" s="16" t="n"/>
      <c r="B52" s="16" t="n"/>
      <c r="C52" s="16" t="n"/>
      <c r="D52" s="16" t="n"/>
      <c r="E52" s="16" t="n"/>
      <c r="F52" s="16" t="n"/>
    </row>
    <row r="53">
      <c r="A53" s="16" t="n"/>
      <c r="B53" s="16" t="n"/>
      <c r="C53" s="16" t="n"/>
      <c r="D53" s="16" t="n"/>
      <c r="E53" s="16" t="n"/>
      <c r="F53" s="16" t="n"/>
    </row>
    <row r="54">
      <c r="A54" s="16" t="n"/>
      <c r="B54" s="16" t="n"/>
      <c r="C54" s="16" t="n"/>
      <c r="D54" s="16" t="n"/>
      <c r="E54" s="16" t="n"/>
      <c r="F54" s="16" t="n"/>
    </row>
    <row r="55">
      <c r="A55" s="16" t="n"/>
      <c r="B55" s="16" t="n"/>
      <c r="C55" s="16" t="n"/>
      <c r="D55" s="16" t="n"/>
      <c r="E55" s="16" t="n"/>
      <c r="F55" s="16" t="n"/>
    </row>
    <row r="56">
      <c r="A56" s="16" t="n"/>
      <c r="B56" s="16" t="n"/>
      <c r="C56" s="16" t="n"/>
      <c r="D56" s="16" t="n"/>
      <c r="E56" s="16" t="n"/>
      <c r="F56" s="16" t="n"/>
    </row>
    <row r="57">
      <c r="A57" s="16" t="n"/>
      <c r="B57" s="16" t="n"/>
      <c r="C57" s="16" t="n"/>
      <c r="D57" s="16" t="n"/>
      <c r="E57" s="16" t="n"/>
      <c r="F57" s="16" t="n"/>
    </row>
    <row r="58">
      <c r="A58" s="16" t="n"/>
      <c r="B58" s="16" t="n"/>
      <c r="C58" s="16" t="n"/>
      <c r="D58" s="16" t="n"/>
      <c r="E58" s="16" t="n"/>
      <c r="F58" s="16" t="n"/>
    </row>
    <row r="59">
      <c r="A59" s="16" t="n"/>
      <c r="B59" s="16" t="n"/>
      <c r="C59" s="16" t="n"/>
      <c r="D59" s="16" t="n"/>
      <c r="E59" s="16" t="n"/>
      <c r="F59" s="16" t="n"/>
    </row>
    <row r="60">
      <c r="A60" s="16" t="n"/>
      <c r="B60" s="16" t="n"/>
      <c r="C60" s="16" t="n"/>
      <c r="D60" s="16" t="n"/>
      <c r="E60" s="16" t="n"/>
      <c r="F60" s="16" t="n"/>
    </row>
    <row r="61">
      <c r="A61" s="16" t="n"/>
      <c r="B61" s="16" t="n"/>
      <c r="C61" s="16" t="n"/>
      <c r="D61" s="16" t="n"/>
      <c r="E61" s="16" t="n"/>
      <c r="F61" s="16" t="n"/>
    </row>
    <row r="62">
      <c r="A62" s="16" t="n"/>
      <c r="B62" s="16" t="n"/>
      <c r="C62" s="16" t="n"/>
      <c r="D62" s="16" t="n"/>
      <c r="E62" s="16" t="n"/>
      <c r="F62" s="16" t="n"/>
    </row>
    <row r="63">
      <c r="A63" s="16" t="n"/>
      <c r="B63" s="16" t="n"/>
      <c r="C63" s="16" t="n"/>
      <c r="D63" s="16" t="n"/>
      <c r="E63" s="16" t="n"/>
      <c r="F63" s="16" t="n"/>
    </row>
    <row r="64">
      <c r="A64" s="16" t="n"/>
      <c r="B64" s="16" t="n"/>
      <c r="C64" s="16" t="n"/>
      <c r="D64" s="16" t="n"/>
      <c r="E64" s="16" t="n"/>
      <c r="F64" s="16" t="n"/>
    </row>
    <row r="65">
      <c r="A65" s="16" t="n"/>
      <c r="B65" s="16" t="n"/>
      <c r="C65" s="16" t="n"/>
      <c r="D65" s="16" t="n"/>
      <c r="E65" s="16" t="n"/>
      <c r="F65" s="16" t="n"/>
    </row>
    <row r="66">
      <c r="A66" s="16" t="n"/>
      <c r="B66" s="16" t="n"/>
      <c r="C66" s="16" t="n"/>
      <c r="D66" s="16" t="n"/>
      <c r="E66" s="16" t="n"/>
      <c r="F66" s="16" t="n"/>
    </row>
    <row r="67">
      <c r="A67" s="16" t="n"/>
      <c r="B67" s="16" t="n"/>
      <c r="C67" s="16" t="n"/>
      <c r="D67" s="16" t="n"/>
      <c r="E67" s="16" t="n"/>
      <c r="F67" s="16" t="n"/>
    </row>
    <row r="68">
      <c r="A68" s="16" t="n"/>
      <c r="B68" s="16" t="n"/>
      <c r="C68" s="16" t="n"/>
      <c r="D68" s="16" t="n"/>
      <c r="E68" s="16" t="n"/>
      <c r="F68" s="16" t="n"/>
    </row>
    <row r="69">
      <c r="A69" s="16" t="n"/>
      <c r="B69" s="16" t="n"/>
      <c r="C69" s="16" t="n"/>
      <c r="D69" s="16" t="n"/>
      <c r="E69" s="16" t="n"/>
      <c r="F69" s="16" t="n"/>
    </row>
    <row r="70">
      <c r="A70" s="16" t="n"/>
      <c r="B70" s="16" t="n"/>
      <c r="C70" s="16" t="n"/>
      <c r="D70" s="16" t="n"/>
      <c r="E70" s="16" t="n"/>
      <c r="F70" s="16" t="n"/>
    </row>
    <row r="71">
      <c r="A71" s="16" t="n"/>
      <c r="B71" s="16" t="n"/>
      <c r="C71" s="16" t="n"/>
      <c r="D71" s="16" t="n"/>
      <c r="E71" s="16" t="n"/>
      <c r="F71" s="16" t="n"/>
    </row>
    <row r="72">
      <c r="A72" s="16" t="n"/>
      <c r="B72" s="16" t="n"/>
      <c r="C72" s="16" t="n"/>
      <c r="D72" s="16" t="n"/>
      <c r="E72" s="16" t="n"/>
      <c r="F72" s="16" t="n"/>
    </row>
    <row r="73">
      <c r="A73" s="16" t="n"/>
      <c r="B73" s="16" t="n"/>
      <c r="C73" s="16" t="n"/>
      <c r="D73" s="16" t="n"/>
      <c r="E73" s="16" t="n"/>
      <c r="F73" s="16" t="n"/>
    </row>
    <row r="74">
      <c r="A74" s="16" t="n"/>
      <c r="B74" s="16" t="n"/>
      <c r="C74" s="16" t="n"/>
      <c r="D74" s="16" t="n"/>
      <c r="E74" s="16" t="n"/>
      <c r="F74" s="16" t="n"/>
    </row>
    <row r="75">
      <c r="A75" s="16" t="n"/>
      <c r="B75" s="16" t="n"/>
      <c r="C75" s="16" t="n"/>
      <c r="D75" s="16" t="n"/>
      <c r="E75" s="16" t="n"/>
      <c r="F75" s="16" t="n"/>
    </row>
    <row r="76">
      <c r="A76" s="16" t="n"/>
      <c r="B76" s="16" t="n"/>
      <c r="C76" s="16" t="n"/>
      <c r="D76" s="16" t="n"/>
      <c r="E76" s="16" t="n"/>
      <c r="F76" s="16" t="n"/>
    </row>
    <row r="77">
      <c r="A77" s="16" t="n"/>
      <c r="B77" s="16" t="n"/>
      <c r="C77" s="16" t="n"/>
      <c r="D77" s="16" t="n"/>
      <c r="E77" s="16" t="n"/>
      <c r="F77" s="16" t="n"/>
    </row>
    <row r="78">
      <c r="A78" s="16" t="n"/>
      <c r="B78" s="16" t="n"/>
      <c r="C78" s="16" t="n"/>
      <c r="D78" s="16" t="n"/>
      <c r="E78" s="16" t="n"/>
      <c r="F78" s="16" t="n"/>
    </row>
    <row r="79">
      <c r="A79" s="16" t="n"/>
      <c r="B79" s="16" t="n"/>
      <c r="C79" s="16" t="n"/>
      <c r="D79" s="16" t="n"/>
      <c r="E79" s="16" t="n"/>
      <c r="F79" s="16" t="n"/>
    </row>
    <row r="80">
      <c r="A80" s="16" t="n"/>
      <c r="B80" s="16" t="n"/>
      <c r="C80" s="16" t="n"/>
      <c r="D80" s="16" t="n"/>
      <c r="E80" s="16" t="n"/>
      <c r="F80" s="16" t="n"/>
    </row>
    <row r="81">
      <c r="A81" s="16" t="n"/>
      <c r="B81" s="16" t="n"/>
      <c r="C81" s="16" t="n"/>
      <c r="D81" s="16" t="n"/>
      <c r="E81" s="16" t="n"/>
      <c r="F81" s="16" t="n"/>
    </row>
    <row r="82">
      <c r="A82" s="16" t="n"/>
      <c r="B82" s="16" t="n"/>
      <c r="C82" s="16" t="n"/>
      <c r="D82" s="16" t="n"/>
      <c r="E82" s="16" t="n"/>
      <c r="F82" s="16" t="n"/>
    </row>
    <row r="83">
      <c r="A83" s="16" t="n"/>
      <c r="B83" s="16" t="n"/>
      <c r="C83" s="16" t="n"/>
      <c r="D83" s="16" t="n"/>
      <c r="E83" s="16" t="n"/>
      <c r="F83" s="16" t="n"/>
    </row>
    <row r="84">
      <c r="A84" s="16" t="n"/>
      <c r="B84" s="16" t="n"/>
      <c r="C84" s="16" t="n"/>
      <c r="D84" s="16" t="n"/>
      <c r="E84" s="16" t="n"/>
      <c r="F84" s="16" t="n"/>
    </row>
    <row r="85">
      <c r="A85" s="16" t="n"/>
      <c r="B85" s="16" t="n"/>
      <c r="C85" s="16" t="n"/>
      <c r="D85" s="16" t="n"/>
      <c r="E85" s="16" t="n"/>
      <c r="F85" s="16" t="n"/>
    </row>
    <row r="86">
      <c r="A86" s="16" t="n"/>
      <c r="B86" s="16" t="n"/>
      <c r="C86" s="16" t="n"/>
      <c r="D86" s="16" t="n"/>
      <c r="E86" s="16" t="n"/>
      <c r="F86" s="16" t="n"/>
    </row>
    <row r="87">
      <c r="A87" s="16" t="n"/>
      <c r="B87" s="16" t="n"/>
      <c r="C87" s="16" t="n"/>
      <c r="D87" s="16" t="n"/>
      <c r="E87" s="16" t="n"/>
      <c r="F87" s="16" t="n"/>
    </row>
    <row r="88">
      <c r="A88" s="16" t="n"/>
      <c r="B88" s="16" t="n"/>
      <c r="C88" s="16" t="n"/>
      <c r="D88" s="16" t="n"/>
      <c r="E88" s="16" t="n"/>
      <c r="F88" s="16" t="n"/>
    </row>
    <row r="89">
      <c r="A89" s="16" t="n"/>
      <c r="B89" s="16" t="n"/>
      <c r="C89" s="16" t="n"/>
      <c r="D89" s="16" t="n"/>
      <c r="E89" s="16" t="n"/>
      <c r="F89" s="16" t="n"/>
    </row>
    <row r="90">
      <c r="A90" s="16" t="n"/>
      <c r="B90" s="16" t="n"/>
      <c r="C90" s="16" t="n"/>
      <c r="D90" s="16" t="n"/>
      <c r="E90" s="16" t="n"/>
      <c r="F90" s="16" t="n"/>
    </row>
    <row r="91">
      <c r="A91" s="16" t="n"/>
      <c r="B91" s="16" t="n"/>
      <c r="C91" s="16" t="n"/>
      <c r="D91" s="16" t="n"/>
      <c r="E91" s="16" t="n"/>
      <c r="F91" s="16" t="n"/>
    </row>
    <row r="92">
      <c r="A92" s="16" t="n"/>
      <c r="B92" s="16" t="n"/>
      <c r="C92" s="16" t="n"/>
      <c r="D92" s="16" t="n"/>
      <c r="E92" s="16" t="n"/>
      <c r="F92" s="16" t="n"/>
    </row>
    <row r="93">
      <c r="A93" s="16" t="n"/>
      <c r="B93" s="16" t="n"/>
      <c r="C93" s="16" t="n"/>
      <c r="D93" s="16" t="n"/>
      <c r="E93" s="16" t="n"/>
      <c r="F93" s="16" t="n"/>
    </row>
    <row r="94">
      <c r="A94" s="16" t="n"/>
      <c r="B94" s="16" t="n"/>
      <c r="C94" s="16" t="n"/>
      <c r="D94" s="16" t="n"/>
      <c r="E94" s="16" t="n"/>
      <c r="F94" s="16" t="n"/>
    </row>
    <row r="95">
      <c r="A95" s="16" t="n"/>
      <c r="B95" s="16" t="n"/>
      <c r="C95" s="16" t="n"/>
      <c r="D95" s="16" t="n"/>
      <c r="E95" s="16" t="n"/>
      <c r="F95" s="16" t="n"/>
    </row>
    <row r="96">
      <c r="A96" s="16" t="n"/>
      <c r="B96" s="16" t="n"/>
      <c r="C96" s="16" t="n"/>
      <c r="D96" s="16" t="n"/>
      <c r="E96" s="16" t="n"/>
      <c r="F96" s="16" t="n"/>
    </row>
    <row r="97">
      <c r="A97" s="16" t="n"/>
      <c r="B97" s="16" t="n"/>
      <c r="C97" s="16" t="n"/>
      <c r="D97" s="16" t="n"/>
      <c r="E97" s="16" t="n"/>
      <c r="F97" s="16" t="n"/>
    </row>
    <row r="98">
      <c r="A98" s="16" t="n"/>
      <c r="B98" s="16" t="n"/>
      <c r="C98" s="16" t="n"/>
      <c r="D98" s="16" t="n"/>
      <c r="E98" s="16" t="n"/>
      <c r="F98" s="16" t="n"/>
    </row>
    <row r="99">
      <c r="A99" s="16" t="n"/>
      <c r="B99" s="16" t="n"/>
      <c r="C99" s="16" t="n"/>
      <c r="D99" s="16" t="n"/>
      <c r="E99" s="16" t="n"/>
      <c r="F99" s="16" t="n"/>
    </row>
    <row r="100">
      <c r="A100" s="16" t="n"/>
      <c r="B100" s="16" t="n"/>
      <c r="C100" s="16" t="n"/>
      <c r="D100" s="16" t="n"/>
      <c r="E100" s="16" t="n"/>
      <c r="F100" s="16" t="n"/>
    </row>
    <row r="101">
      <c r="A101" s="16" t="n"/>
      <c r="B101" s="16" t="n"/>
      <c r="C101" s="16" t="n"/>
      <c r="D101" s="16" t="n"/>
      <c r="E101" s="16" t="n"/>
      <c r="F101" s="16" t="n"/>
    </row>
    <row r="102">
      <c r="A102" s="16" t="n"/>
      <c r="B102" s="16" t="n"/>
      <c r="C102" s="16" t="n"/>
      <c r="D102" s="16" t="n"/>
      <c r="E102" s="16" t="n"/>
      <c r="F102" s="16" t="n"/>
    </row>
    <row r="103">
      <c r="A103" s="16" t="n"/>
      <c r="B103" s="16" t="n"/>
      <c r="C103" s="16" t="n"/>
      <c r="D103" s="16" t="n"/>
      <c r="E103" s="16" t="n"/>
      <c r="F103" s="16" t="n"/>
    </row>
    <row r="104">
      <c r="A104" s="16" t="n"/>
      <c r="B104" s="16" t="n"/>
      <c r="C104" s="16" t="n"/>
      <c r="D104" s="16" t="n"/>
      <c r="E104" s="16" t="n"/>
      <c r="F104" s="16" t="n"/>
    </row>
    <row r="105">
      <c r="A105" s="16" t="n"/>
      <c r="B105" s="16" t="n"/>
      <c r="C105" s="16" t="n"/>
      <c r="D105" s="16" t="n"/>
      <c r="E105" s="16" t="n"/>
      <c r="F105" s="16" t="n"/>
    </row>
    <row r="107">
      <c r="A107" s="5" t="inlineStr">
        <is>
          <t>STILL OPEN</t>
        </is>
      </c>
      <c r="B107" s="9">
        <f>COUNTIF(F6:F105,"Still open")</f>
        <v/>
      </c>
    </row>
  </sheetData>
  <dataValidations count="1">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showDropDown="0" showInputMessage="0" showErrorMessage="0" allowBlank="1" type="list">
      <formula1>"Closed - now a commitment,Still open,Carried as risk"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2026-09-29T06:53:26Z</dcterms:created>
  <dcterms:modified xmlns:dcterms="http://purl.org/dc/terms/" xmlns:xsi="http://www.w3.org/2001/XMLSchema-instance" xsi:type="dcterms:W3CDTF">2026-09-29T06:53:26Z</dcterms:modified>
</cp:coreProperties>
</file>